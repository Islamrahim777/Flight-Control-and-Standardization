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_Data" sheetId="1" state="visible" r:id="rId3"/>
    <sheet name="Rank_Rules" sheetId="2" state="visible" r:id="rId4"/>
    <sheet name="Dept_Summary" sheetId="3" state="visible" r:id="rId5"/>
    <sheet name="Risk_Watch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<sst xmlns="http://schemas.openxmlformats.org/spreadsheetml/2006/main" count="1613" uniqueCount="558">
  <si>
    <t xml:space="preserve">person_id</t>
  </si>
  <si>
    <t xml:space="preserve">department</t>
  </si>
  <si>
    <t xml:space="preserve">rank</t>
  </si>
  <si>
    <t xml:space="preserve">total_military_service_years</t>
  </si>
  <si>
    <t xml:space="preserve">success_rate</t>
  </si>
  <si>
    <t xml:space="preserve">total_flight_hours</t>
  </si>
  <si>
    <t xml:space="preserve">medal_count</t>
  </si>
  <si>
    <t xml:space="preserve">risk_score</t>
  </si>
  <si>
    <t xml:space="preserve">AO07216</t>
  </si>
  <si>
    <t xml:space="preserve">Alpha</t>
  </si>
  <si>
    <t xml:space="preserve">Lieutenant Colonel</t>
  </si>
  <si>
    <t xml:space="preserve">AO12605</t>
  </si>
  <si>
    <t xml:space="preserve">Major</t>
  </si>
  <si>
    <t xml:space="preserve">AO17018</t>
  </si>
  <si>
    <t xml:space="preserve">Captain</t>
  </si>
  <si>
    <t xml:space="preserve">G22139</t>
  </si>
  <si>
    <t xml:space="preserve">Warrant Officer</t>
  </si>
  <si>
    <t xml:space="preserve">AO16543</t>
  </si>
  <si>
    <t xml:space="preserve">AO22963</t>
  </si>
  <si>
    <t xml:space="preserve">Senior Lieutenant</t>
  </si>
  <si>
    <t xml:space="preserve">AO19391</t>
  </si>
  <si>
    <t xml:space="preserve">AO18976</t>
  </si>
  <si>
    <t xml:space="preserve">AO13357</t>
  </si>
  <si>
    <t xml:space="preserve">AO23290</t>
  </si>
  <si>
    <t xml:space="preserve">Lieutenant</t>
  </si>
  <si>
    <t xml:space="preserve">AO16547</t>
  </si>
  <si>
    <t xml:space="preserve">AO13497</t>
  </si>
  <si>
    <t xml:space="preserve">AO17259</t>
  </si>
  <si>
    <t xml:space="preserve">AO21304</t>
  </si>
  <si>
    <t xml:space="preserve">AO24033</t>
  </si>
  <si>
    <t xml:space="preserve">AO25712</t>
  </si>
  <si>
    <t xml:space="preserve">AO21586</t>
  </si>
  <si>
    <t xml:space="preserve">AO24023</t>
  </si>
  <si>
    <t xml:space="preserve">AO21458</t>
  </si>
  <si>
    <t xml:space="preserve">AO18524</t>
  </si>
  <si>
    <t xml:space="preserve">AO12328</t>
  </si>
  <si>
    <t xml:space="preserve">AO16636</t>
  </si>
  <si>
    <t xml:space="preserve">AO25389</t>
  </si>
  <si>
    <t xml:space="preserve">AO25228</t>
  </si>
  <si>
    <t xml:space="preserve">AO18688</t>
  </si>
  <si>
    <t xml:space="preserve">AO20164</t>
  </si>
  <si>
    <t xml:space="preserve">AO25328</t>
  </si>
  <si>
    <t xml:space="preserve">AO24416</t>
  </si>
  <si>
    <t xml:space="preserve">AO22646</t>
  </si>
  <si>
    <t xml:space="preserve">AO22701</t>
  </si>
  <si>
    <t xml:space="preserve">AO24250</t>
  </si>
  <si>
    <t xml:space="preserve">AO22585</t>
  </si>
  <si>
    <t xml:space="preserve">AO12461</t>
  </si>
  <si>
    <t xml:space="preserve">AO19336</t>
  </si>
  <si>
    <t xml:space="preserve">AO17172</t>
  </si>
  <si>
    <t xml:space="preserve">AO22921</t>
  </si>
  <si>
    <t xml:space="preserve">AO20473</t>
  </si>
  <si>
    <t xml:space="preserve">AO24361</t>
  </si>
  <si>
    <t xml:space="preserve">AO11628</t>
  </si>
  <si>
    <t xml:space="preserve">AO21607</t>
  </si>
  <si>
    <t xml:space="preserve">AO17445</t>
  </si>
  <si>
    <t xml:space="preserve">AO22937</t>
  </si>
  <si>
    <t xml:space="preserve">AO23491</t>
  </si>
  <si>
    <t xml:space="preserve">AO18742</t>
  </si>
  <si>
    <t xml:space="preserve">AO15635</t>
  </si>
  <si>
    <t xml:space="preserve">G23402</t>
  </si>
  <si>
    <t xml:space="preserve">G19017</t>
  </si>
  <si>
    <t xml:space="preserve">Senior Warrant Officer</t>
  </si>
  <si>
    <t xml:space="preserve">G22746</t>
  </si>
  <si>
    <t xml:space="preserve">G23357</t>
  </si>
  <si>
    <t xml:space="preserve">G18673</t>
  </si>
  <si>
    <t xml:space="preserve">G11740</t>
  </si>
  <si>
    <t xml:space="preserve">G23944</t>
  </si>
  <si>
    <t xml:space="preserve">G22677</t>
  </si>
  <si>
    <t xml:space="preserve">G25596</t>
  </si>
  <si>
    <t xml:space="preserve">Junior Warrant Officer</t>
  </si>
  <si>
    <t xml:space="preserve">G23288</t>
  </si>
  <si>
    <t xml:space="preserve">G25878</t>
  </si>
  <si>
    <t xml:space="preserve">G25956</t>
  </si>
  <si>
    <t xml:space="preserve">G22091</t>
  </si>
  <si>
    <t xml:space="preserve">G18716</t>
  </si>
  <si>
    <t xml:space="preserve">G22153</t>
  </si>
  <si>
    <t xml:space="preserve">G11488</t>
  </si>
  <si>
    <t xml:space="preserve">G24197</t>
  </si>
  <si>
    <t xml:space="preserve">G17139</t>
  </si>
  <si>
    <t xml:space="preserve">G22314</t>
  </si>
  <si>
    <t xml:space="preserve">G23423</t>
  </si>
  <si>
    <t xml:space="preserve">G13885</t>
  </si>
  <si>
    <t xml:space="preserve">G08643</t>
  </si>
  <si>
    <t xml:space="preserve">G08693</t>
  </si>
  <si>
    <t xml:space="preserve">G23673</t>
  </si>
  <si>
    <t xml:space="preserve">G24293</t>
  </si>
  <si>
    <t xml:space="preserve">G23445</t>
  </si>
  <si>
    <t xml:space="preserve">G21944</t>
  </si>
  <si>
    <t xml:space="preserve">G22075</t>
  </si>
  <si>
    <t xml:space="preserve">G23253</t>
  </si>
  <si>
    <t xml:space="preserve">G22963</t>
  </si>
  <si>
    <t xml:space="preserve">G22206</t>
  </si>
  <si>
    <t xml:space="preserve">G23305</t>
  </si>
  <si>
    <t xml:space="preserve">G24645</t>
  </si>
  <si>
    <t xml:space="preserve">G25276</t>
  </si>
  <si>
    <t xml:space="preserve">G24726</t>
  </si>
  <si>
    <t xml:space="preserve">G22585</t>
  </si>
  <si>
    <t xml:space="preserve">G18574</t>
  </si>
  <si>
    <t xml:space="preserve">G24803</t>
  </si>
  <si>
    <t xml:space="preserve">G24422</t>
  </si>
  <si>
    <t xml:space="preserve">G24379</t>
  </si>
  <si>
    <t xml:space="preserve">G20209</t>
  </si>
  <si>
    <t xml:space="preserve">G23995</t>
  </si>
  <si>
    <t xml:space="preserve">G15195</t>
  </si>
  <si>
    <t xml:space="preserve">G10686</t>
  </si>
  <si>
    <t xml:space="preserve">G11957</t>
  </si>
  <si>
    <t xml:space="preserve">G17797</t>
  </si>
  <si>
    <t xml:space="preserve">G19538</t>
  </si>
  <si>
    <t xml:space="preserve">G24344</t>
  </si>
  <si>
    <t xml:space="preserve">G22249</t>
  </si>
  <si>
    <t xml:space="preserve">G22769</t>
  </si>
  <si>
    <t xml:space="preserve">G08859</t>
  </si>
  <si>
    <t xml:space="preserve">G22733</t>
  </si>
  <si>
    <t xml:space="preserve">G11223</t>
  </si>
  <si>
    <t xml:space="preserve">G13364</t>
  </si>
  <si>
    <t xml:space="preserve">G25102</t>
  </si>
  <si>
    <t xml:space="preserve">G13541</t>
  </si>
  <si>
    <t xml:space="preserve">G23338</t>
  </si>
  <si>
    <t xml:space="preserve">G21587</t>
  </si>
  <si>
    <t xml:space="preserve">G08482</t>
  </si>
  <si>
    <t xml:space="preserve">G25255</t>
  </si>
  <si>
    <t xml:space="preserve">AO97199</t>
  </si>
  <si>
    <t xml:space="preserve">Beta</t>
  </si>
  <si>
    <t xml:space="preserve">AO16486</t>
  </si>
  <si>
    <t xml:space="preserve">AO12560</t>
  </si>
  <si>
    <t xml:space="preserve">G15848</t>
  </si>
  <si>
    <t xml:space="preserve">AO13826</t>
  </si>
  <si>
    <t xml:space="preserve">AO21460</t>
  </si>
  <si>
    <t xml:space="preserve">AO18804</t>
  </si>
  <si>
    <t xml:space="preserve">AO17999</t>
  </si>
  <si>
    <t xml:space="preserve">AO21945</t>
  </si>
  <si>
    <t xml:space="preserve">AO22715</t>
  </si>
  <si>
    <t xml:space="preserve">AO16664</t>
  </si>
  <si>
    <t xml:space="preserve">AO24322</t>
  </si>
  <si>
    <t xml:space="preserve">AO24715</t>
  </si>
  <si>
    <t xml:space="preserve">AO16557</t>
  </si>
  <si>
    <t xml:space="preserve">AO20423</t>
  </si>
  <si>
    <t xml:space="preserve">AO15870</t>
  </si>
  <si>
    <t xml:space="preserve">AO17162</t>
  </si>
  <si>
    <t xml:space="preserve">AO24225</t>
  </si>
  <si>
    <t xml:space="preserve">AO24481</t>
  </si>
  <si>
    <t xml:space="preserve">AO12508</t>
  </si>
  <si>
    <t xml:space="preserve">AO23007</t>
  </si>
  <si>
    <t xml:space="preserve">AO21316</t>
  </si>
  <si>
    <t xml:space="preserve">AO21906</t>
  </si>
  <si>
    <t xml:space="preserve">AO24203</t>
  </si>
  <si>
    <t xml:space="preserve">AO20690</t>
  </si>
  <si>
    <t xml:space="preserve">AO19316</t>
  </si>
  <si>
    <t xml:space="preserve">AO20211</t>
  </si>
  <si>
    <t xml:space="preserve">AO14299</t>
  </si>
  <si>
    <t xml:space="preserve">AO23728</t>
  </si>
  <si>
    <t xml:space="preserve">AO22709</t>
  </si>
  <si>
    <t xml:space="preserve">AO18592</t>
  </si>
  <si>
    <t xml:space="preserve">AO18652</t>
  </si>
  <si>
    <t xml:space="preserve">AO24038</t>
  </si>
  <si>
    <t xml:space="preserve">AO23051</t>
  </si>
  <si>
    <t xml:space="preserve">AO25210</t>
  </si>
  <si>
    <t xml:space="preserve">AO25050</t>
  </si>
  <si>
    <t xml:space="preserve">AO24602</t>
  </si>
  <si>
    <t xml:space="preserve">AO23001</t>
  </si>
  <si>
    <t xml:space="preserve">AO16430</t>
  </si>
  <si>
    <t xml:space="preserve">AO23143</t>
  </si>
  <si>
    <t xml:space="preserve">AO24756</t>
  </si>
  <si>
    <t xml:space="preserve">AO12366</t>
  </si>
  <si>
    <t xml:space="preserve">AO24395</t>
  </si>
  <si>
    <t xml:space="preserve">AO23430</t>
  </si>
  <si>
    <t xml:space="preserve">AO24998</t>
  </si>
  <si>
    <t xml:space="preserve">G22440</t>
  </si>
  <si>
    <t xml:space="preserve">G11589</t>
  </si>
  <si>
    <t xml:space="preserve">G23771</t>
  </si>
  <si>
    <t xml:space="preserve">G17117</t>
  </si>
  <si>
    <t xml:space="preserve">G15417</t>
  </si>
  <si>
    <t xml:space="preserve">G24483</t>
  </si>
  <si>
    <t xml:space="preserve">G24819</t>
  </si>
  <si>
    <t xml:space="preserve">G22927</t>
  </si>
  <si>
    <t xml:space="preserve">G24599</t>
  </si>
  <si>
    <t xml:space="preserve">G25161</t>
  </si>
  <si>
    <t xml:space="preserve">G13723</t>
  </si>
  <si>
    <t xml:space="preserve">G24135</t>
  </si>
  <si>
    <t xml:space="preserve">G21624</t>
  </si>
  <si>
    <t xml:space="preserve">G08986</t>
  </si>
  <si>
    <t xml:space="preserve">G21223</t>
  </si>
  <si>
    <t xml:space="preserve">G23268</t>
  </si>
  <si>
    <t xml:space="preserve">G25106</t>
  </si>
  <si>
    <t xml:space="preserve">G25990</t>
  </si>
  <si>
    <t xml:space="preserve">G15161</t>
  </si>
  <si>
    <t xml:space="preserve">G22969</t>
  </si>
  <si>
    <t xml:space="preserve">G25008</t>
  </si>
  <si>
    <t xml:space="preserve">G24879</t>
  </si>
  <si>
    <t xml:space="preserve">G16019</t>
  </si>
  <si>
    <t xml:space="preserve">G24796</t>
  </si>
  <si>
    <t xml:space="preserve">G23895</t>
  </si>
  <si>
    <t xml:space="preserve">G21967</t>
  </si>
  <si>
    <t xml:space="preserve">G24128</t>
  </si>
  <si>
    <t xml:space="preserve">G17208</t>
  </si>
  <si>
    <t xml:space="preserve">G23922</t>
  </si>
  <si>
    <t xml:space="preserve">G11685</t>
  </si>
  <si>
    <t xml:space="preserve">G23964</t>
  </si>
  <si>
    <t xml:space="preserve">G24038</t>
  </si>
  <si>
    <t xml:space="preserve">G23945</t>
  </si>
  <si>
    <t xml:space="preserve">G10758</t>
  </si>
  <si>
    <t xml:space="preserve">G08002</t>
  </si>
  <si>
    <t xml:space="preserve">G24250</t>
  </si>
  <si>
    <t xml:space="preserve">G24010</t>
  </si>
  <si>
    <t xml:space="preserve">G24043</t>
  </si>
  <si>
    <t xml:space="preserve">G22635</t>
  </si>
  <si>
    <t xml:space="preserve">G22413</t>
  </si>
  <si>
    <t xml:space="preserve">G21070</t>
  </si>
  <si>
    <t xml:space="preserve">G23299</t>
  </si>
  <si>
    <t xml:space="preserve">G25915</t>
  </si>
  <si>
    <t xml:space="preserve">G22473</t>
  </si>
  <si>
    <t xml:space="preserve">G24309</t>
  </si>
  <si>
    <t xml:space="preserve">G18175</t>
  </si>
  <si>
    <t xml:space="preserve">G10138</t>
  </si>
  <si>
    <t xml:space="preserve">G24284</t>
  </si>
  <si>
    <t xml:space="preserve">G22544</t>
  </si>
  <si>
    <t xml:space="preserve">G14731</t>
  </si>
  <si>
    <t xml:space="preserve">G23763</t>
  </si>
  <si>
    <t xml:space="preserve">G08568</t>
  </si>
  <si>
    <t xml:space="preserve">G12593</t>
  </si>
  <si>
    <t xml:space="preserve">G08962</t>
  </si>
  <si>
    <t xml:space="preserve">G12425</t>
  </si>
  <si>
    <t xml:space="preserve">G25778</t>
  </si>
  <si>
    <t xml:space="preserve">G13609</t>
  </si>
  <si>
    <t xml:space="preserve">G24580</t>
  </si>
  <si>
    <t xml:space="preserve">G21267</t>
  </si>
  <si>
    <t xml:space="preserve">G23226</t>
  </si>
  <si>
    <t xml:space="preserve">AO05709</t>
  </si>
  <si>
    <t xml:space="preserve">Delta</t>
  </si>
  <si>
    <t xml:space="preserve">AO12824</t>
  </si>
  <si>
    <t xml:space="preserve">AO16360</t>
  </si>
  <si>
    <t xml:space="preserve">G11837</t>
  </si>
  <si>
    <t xml:space="preserve">AO13387</t>
  </si>
  <si>
    <t xml:space="preserve">AO18342</t>
  </si>
  <si>
    <t xml:space="preserve">AO23991</t>
  </si>
  <si>
    <t xml:space="preserve">AO11296</t>
  </si>
  <si>
    <t xml:space="preserve">AO24278</t>
  </si>
  <si>
    <t xml:space="preserve">AO21963</t>
  </si>
  <si>
    <t xml:space="preserve">AO24578</t>
  </si>
  <si>
    <t xml:space="preserve">AO25711</t>
  </si>
  <si>
    <t xml:space="preserve">AO14187</t>
  </si>
  <si>
    <t xml:space="preserve">AO22316</t>
  </si>
  <si>
    <t xml:space="preserve">AO18186</t>
  </si>
  <si>
    <t xml:space="preserve">AO20436</t>
  </si>
  <si>
    <t xml:space="preserve">AO18238</t>
  </si>
  <si>
    <t xml:space="preserve">AO25379</t>
  </si>
  <si>
    <t xml:space="preserve">AO12189</t>
  </si>
  <si>
    <t xml:space="preserve">AO15573</t>
  </si>
  <si>
    <t xml:space="preserve">AO18127</t>
  </si>
  <si>
    <t xml:space="preserve">AO13278</t>
  </si>
  <si>
    <t xml:space="preserve">AO15860</t>
  </si>
  <si>
    <t xml:space="preserve">AO23574</t>
  </si>
  <si>
    <t xml:space="preserve">AO24436</t>
  </si>
  <si>
    <t xml:space="preserve">AO24631</t>
  </si>
  <si>
    <t xml:space="preserve">AO15583</t>
  </si>
  <si>
    <t xml:space="preserve">AO24190</t>
  </si>
  <si>
    <t xml:space="preserve">AO15781</t>
  </si>
  <si>
    <t xml:space="preserve">AO12061</t>
  </si>
  <si>
    <t xml:space="preserve">AO18148</t>
  </si>
  <si>
    <t xml:space="preserve">AO13289</t>
  </si>
  <si>
    <t xml:space="preserve">AO23475</t>
  </si>
  <si>
    <t xml:space="preserve">AO25607</t>
  </si>
  <si>
    <t xml:space="preserve">AO21091</t>
  </si>
  <si>
    <t xml:space="preserve">AO22207</t>
  </si>
  <si>
    <t xml:space="preserve">AO17682</t>
  </si>
  <si>
    <t xml:space="preserve">AO17015</t>
  </si>
  <si>
    <t xml:space="preserve">AO13576</t>
  </si>
  <si>
    <t xml:space="preserve">AO20306</t>
  </si>
  <si>
    <t xml:space="preserve">AO14271</t>
  </si>
  <si>
    <t xml:space="preserve">AO25477</t>
  </si>
  <si>
    <t xml:space="preserve">AO16242</t>
  </si>
  <si>
    <t xml:space="preserve">AO23405</t>
  </si>
  <si>
    <t xml:space="preserve">AO18046</t>
  </si>
  <si>
    <t xml:space="preserve">G20303</t>
  </si>
  <si>
    <t xml:space="preserve">G12516</t>
  </si>
  <si>
    <t xml:space="preserve">G11545</t>
  </si>
  <si>
    <t xml:space="preserve">G24443</t>
  </si>
  <si>
    <t xml:space="preserve">G24868</t>
  </si>
  <si>
    <t xml:space="preserve">G23314</t>
  </si>
  <si>
    <t xml:space="preserve">G19777</t>
  </si>
  <si>
    <t xml:space="preserve">G08440</t>
  </si>
  <si>
    <t xml:space="preserve">G23726</t>
  </si>
  <si>
    <t xml:space="preserve">G11657</t>
  </si>
  <si>
    <t xml:space="preserve">G21722</t>
  </si>
  <si>
    <t xml:space="preserve">G22580</t>
  </si>
  <si>
    <t xml:space="preserve">G16308</t>
  </si>
  <si>
    <t xml:space="preserve">G23263</t>
  </si>
  <si>
    <t xml:space="preserve">G22662</t>
  </si>
  <si>
    <t xml:space="preserve">G20911</t>
  </si>
  <si>
    <t xml:space="preserve">G22464</t>
  </si>
  <si>
    <t xml:space="preserve">G21369</t>
  </si>
  <si>
    <t xml:space="preserve">G18149</t>
  </si>
  <si>
    <t xml:space="preserve">G07690</t>
  </si>
  <si>
    <t xml:space="preserve">G23804</t>
  </si>
  <si>
    <t xml:space="preserve">G24311</t>
  </si>
  <si>
    <t xml:space="preserve">G07820</t>
  </si>
  <si>
    <t xml:space="preserve">G24390</t>
  </si>
  <si>
    <t xml:space="preserve">G09841</t>
  </si>
  <si>
    <t xml:space="preserve">G25584</t>
  </si>
  <si>
    <t xml:space="preserve">G23074</t>
  </si>
  <si>
    <t xml:space="preserve">G23810</t>
  </si>
  <si>
    <t xml:space="preserve">G21565</t>
  </si>
  <si>
    <t xml:space="preserve">G20187</t>
  </si>
  <si>
    <t xml:space="preserve">G24951</t>
  </si>
  <si>
    <t xml:space="preserve">G25456</t>
  </si>
  <si>
    <t xml:space="preserve">G15955</t>
  </si>
  <si>
    <t xml:space="preserve">G21305</t>
  </si>
  <si>
    <t xml:space="preserve">G22415</t>
  </si>
  <si>
    <t xml:space="preserve">G22037</t>
  </si>
  <si>
    <t xml:space="preserve">G22579</t>
  </si>
  <si>
    <t xml:space="preserve">G22977</t>
  </si>
  <si>
    <t xml:space="preserve">G24065</t>
  </si>
  <si>
    <t xml:space="preserve">G07673</t>
  </si>
  <si>
    <t xml:space="preserve">G22535</t>
  </si>
  <si>
    <t xml:space="preserve">G23918</t>
  </si>
  <si>
    <t xml:space="preserve">G25132</t>
  </si>
  <si>
    <t xml:space="preserve">G22485</t>
  </si>
  <si>
    <t xml:space="preserve">G22220</t>
  </si>
  <si>
    <t xml:space="preserve">G22168</t>
  </si>
  <si>
    <t xml:space="preserve">G13401</t>
  </si>
  <si>
    <t xml:space="preserve">G25062</t>
  </si>
  <si>
    <t xml:space="preserve">G23312</t>
  </si>
  <si>
    <t xml:space="preserve">G11789</t>
  </si>
  <si>
    <t xml:space="preserve">G25707</t>
  </si>
  <si>
    <t xml:space="preserve">G22436</t>
  </si>
  <si>
    <t xml:space="preserve">G13194</t>
  </si>
  <si>
    <t xml:space="preserve">G24151</t>
  </si>
  <si>
    <t xml:space="preserve">G07405</t>
  </si>
  <si>
    <t xml:space="preserve">G11903</t>
  </si>
  <si>
    <t xml:space="preserve">G23626</t>
  </si>
  <si>
    <t xml:space="preserve">G09553</t>
  </si>
  <si>
    <t xml:space="preserve">G22502</t>
  </si>
  <si>
    <t xml:space="preserve">G25177</t>
  </si>
  <si>
    <t xml:space="preserve">AO97317</t>
  </si>
  <si>
    <t xml:space="preserve">Gamma</t>
  </si>
  <si>
    <t xml:space="preserve">AO14416</t>
  </si>
  <si>
    <t xml:space="preserve">AO14212</t>
  </si>
  <si>
    <t xml:space="preserve">G23124</t>
  </si>
  <si>
    <t xml:space="preserve">AO18162</t>
  </si>
  <si>
    <t xml:space="preserve">AO17072</t>
  </si>
  <si>
    <t xml:space="preserve">AO24985</t>
  </si>
  <si>
    <t xml:space="preserve">AO21429</t>
  </si>
  <si>
    <t xml:space="preserve">AO20240</t>
  </si>
  <si>
    <t xml:space="preserve">AO16860</t>
  </si>
  <si>
    <t xml:space="preserve">AO24475</t>
  </si>
  <si>
    <t xml:space="preserve">AO24451</t>
  </si>
  <si>
    <t xml:space="preserve">AO25736</t>
  </si>
  <si>
    <t xml:space="preserve">AO24080</t>
  </si>
  <si>
    <t xml:space="preserve">AO17637</t>
  </si>
  <si>
    <t xml:space="preserve">AO23313</t>
  </si>
  <si>
    <t xml:space="preserve">AO23316</t>
  </si>
  <si>
    <t xml:space="preserve">AO17887</t>
  </si>
  <si>
    <t xml:space="preserve">AO15343</t>
  </si>
  <si>
    <t xml:space="preserve">AO18123</t>
  </si>
  <si>
    <t xml:space="preserve">AO18600</t>
  </si>
  <si>
    <t xml:space="preserve">AO24112</t>
  </si>
  <si>
    <t xml:space="preserve">AO18070</t>
  </si>
  <si>
    <t xml:space="preserve">AO24903</t>
  </si>
  <si>
    <t xml:space="preserve">AO21835</t>
  </si>
  <si>
    <t xml:space="preserve">AO21206</t>
  </si>
  <si>
    <t xml:space="preserve">AO15626</t>
  </si>
  <si>
    <t xml:space="preserve">AO16652</t>
  </si>
  <si>
    <t xml:space="preserve">AO21394</t>
  </si>
  <si>
    <t xml:space="preserve">AO17667</t>
  </si>
  <si>
    <t xml:space="preserve">AO25008</t>
  </si>
  <si>
    <t xml:space="preserve">AO21911</t>
  </si>
  <si>
    <t xml:space="preserve">AO24650</t>
  </si>
  <si>
    <t xml:space="preserve">AO13655</t>
  </si>
  <si>
    <t xml:space="preserve">AO19192</t>
  </si>
  <si>
    <t xml:space="preserve">AO22118</t>
  </si>
  <si>
    <t xml:space="preserve">AO24579</t>
  </si>
  <si>
    <t xml:space="preserve">AO12488</t>
  </si>
  <si>
    <t xml:space="preserve">AO24665</t>
  </si>
  <si>
    <t xml:space="preserve">AO18360</t>
  </si>
  <si>
    <t xml:space="preserve">AO12822</t>
  </si>
  <si>
    <t xml:space="preserve">AO11938</t>
  </si>
  <si>
    <t xml:space="preserve">AO21355</t>
  </si>
  <si>
    <t xml:space="preserve">AO16958</t>
  </si>
  <si>
    <t xml:space="preserve">AO23557</t>
  </si>
  <si>
    <t xml:space="preserve">G08994</t>
  </si>
  <si>
    <t xml:space="preserve">G21193</t>
  </si>
  <si>
    <t xml:space="preserve">G23405</t>
  </si>
  <si>
    <t xml:space="preserve">G21265</t>
  </si>
  <si>
    <t xml:space="preserve">G23583</t>
  </si>
  <si>
    <t xml:space="preserve">G16237</t>
  </si>
  <si>
    <t xml:space="preserve">G12759</t>
  </si>
  <si>
    <t xml:space="preserve">G21712</t>
  </si>
  <si>
    <t xml:space="preserve">G11534</t>
  </si>
  <si>
    <t xml:space="preserve">G13338</t>
  </si>
  <si>
    <t xml:space="preserve">G24740</t>
  </si>
  <si>
    <t xml:space="preserve">G24625</t>
  </si>
  <si>
    <t xml:space="preserve">G08825</t>
  </si>
  <si>
    <t xml:space="preserve">G24228</t>
  </si>
  <si>
    <t xml:space="preserve">G22914</t>
  </si>
  <si>
    <t xml:space="preserve">G23950</t>
  </si>
  <si>
    <t xml:space="preserve">G18229</t>
  </si>
  <si>
    <t xml:space="preserve">G10034</t>
  </si>
  <si>
    <t xml:space="preserve">G24055</t>
  </si>
  <si>
    <t xml:space="preserve">G17751</t>
  </si>
  <si>
    <t xml:space="preserve">G21335</t>
  </si>
  <si>
    <t xml:space="preserve">G19692</t>
  </si>
  <si>
    <t xml:space="preserve">G18048</t>
  </si>
  <si>
    <t xml:space="preserve">G23617</t>
  </si>
  <si>
    <t xml:space="preserve">G18607</t>
  </si>
  <si>
    <t xml:space="preserve">G22495</t>
  </si>
  <si>
    <t xml:space="preserve">G22236</t>
  </si>
  <si>
    <t xml:space="preserve">G22081</t>
  </si>
  <si>
    <t xml:space="preserve">G23603</t>
  </si>
  <si>
    <t xml:space="preserve">G23250</t>
  </si>
  <si>
    <t xml:space="preserve">G21406</t>
  </si>
  <si>
    <t xml:space="preserve">G24842</t>
  </si>
  <si>
    <t xml:space="preserve">G09851</t>
  </si>
  <si>
    <t xml:space="preserve">G17884</t>
  </si>
  <si>
    <t xml:space="preserve">G25117</t>
  </si>
  <si>
    <t xml:space="preserve">G25881</t>
  </si>
  <si>
    <t xml:space="preserve">G22817</t>
  </si>
  <si>
    <t xml:space="preserve">G24028</t>
  </si>
  <si>
    <t xml:space="preserve">G21397</t>
  </si>
  <si>
    <t xml:space="preserve">G22616</t>
  </si>
  <si>
    <t xml:space="preserve">G16679</t>
  </si>
  <si>
    <t xml:space="preserve">G25490</t>
  </si>
  <si>
    <t xml:space="preserve">G22788</t>
  </si>
  <si>
    <t xml:space="preserve">G21226</t>
  </si>
  <si>
    <t xml:space="preserve">G22189</t>
  </si>
  <si>
    <t xml:space="preserve">G21086</t>
  </si>
  <si>
    <t xml:space="preserve">G07800</t>
  </si>
  <si>
    <t xml:space="preserve">G21074</t>
  </si>
  <si>
    <t xml:space="preserve">G23622</t>
  </si>
  <si>
    <t xml:space="preserve">G08080</t>
  </si>
  <si>
    <t xml:space="preserve">G18336</t>
  </si>
  <si>
    <t xml:space="preserve">G19856</t>
  </si>
  <si>
    <t xml:space="preserve">G06810</t>
  </si>
  <si>
    <t xml:space="preserve">G09028</t>
  </si>
  <si>
    <t xml:space="preserve">G25779</t>
  </si>
  <si>
    <t xml:space="preserve">G16461</t>
  </si>
  <si>
    <t xml:space="preserve">G25044</t>
  </si>
  <si>
    <t xml:space="preserve">G24144</t>
  </si>
  <si>
    <t xml:space="preserve">G22135</t>
  </si>
  <si>
    <t xml:space="preserve">G22448</t>
  </si>
  <si>
    <t xml:space="preserve">AO97468</t>
  </si>
  <si>
    <t xml:space="preserve">Sigma</t>
  </si>
  <si>
    <t xml:space="preserve">AO12000</t>
  </si>
  <si>
    <t xml:space="preserve">AO13467</t>
  </si>
  <si>
    <t xml:space="preserve">G06923</t>
  </si>
  <si>
    <t xml:space="preserve">AO12830</t>
  </si>
  <si>
    <t xml:space="preserve">AO22617</t>
  </si>
  <si>
    <t xml:space="preserve">AO25183</t>
  </si>
  <si>
    <t xml:space="preserve">AO21436</t>
  </si>
  <si>
    <t xml:space="preserve">AO23681</t>
  </si>
  <si>
    <t xml:space="preserve">AO25376</t>
  </si>
  <si>
    <t xml:space="preserve">AO22093</t>
  </si>
  <si>
    <t xml:space="preserve">AO23780</t>
  </si>
  <si>
    <t xml:space="preserve">AO14671</t>
  </si>
  <si>
    <t xml:space="preserve">AO11537</t>
  </si>
  <si>
    <t xml:space="preserve">AO12140</t>
  </si>
  <si>
    <t xml:space="preserve">AO20080</t>
  </si>
  <si>
    <t xml:space="preserve">AO19031</t>
  </si>
  <si>
    <t xml:space="preserve">AO18862</t>
  </si>
  <si>
    <t xml:space="preserve">AO14110</t>
  </si>
  <si>
    <t xml:space="preserve">AO23445</t>
  </si>
  <si>
    <t xml:space="preserve">AO25358</t>
  </si>
  <si>
    <t xml:space="preserve">AO13818</t>
  </si>
  <si>
    <t xml:space="preserve">AO23508</t>
  </si>
  <si>
    <t xml:space="preserve">AO23410</t>
  </si>
  <si>
    <t xml:space="preserve">AO18024</t>
  </si>
  <si>
    <t xml:space="preserve">AO16212</t>
  </si>
  <si>
    <t xml:space="preserve">AO21707</t>
  </si>
  <si>
    <t xml:space="preserve">AO21034</t>
  </si>
  <si>
    <t xml:space="preserve">AO22645</t>
  </si>
  <si>
    <t xml:space="preserve">AO21263</t>
  </si>
  <si>
    <t xml:space="preserve">AO25112</t>
  </si>
  <si>
    <t xml:space="preserve">AO21878</t>
  </si>
  <si>
    <t xml:space="preserve">AO20873</t>
  </si>
  <si>
    <t xml:space="preserve">AO24366</t>
  </si>
  <si>
    <t xml:space="preserve">AO24140</t>
  </si>
  <si>
    <t xml:space="preserve">AO17508</t>
  </si>
  <si>
    <t xml:space="preserve">AO20321</t>
  </si>
  <si>
    <t xml:space="preserve">AO18793</t>
  </si>
  <si>
    <t xml:space="preserve">AO25165</t>
  </si>
  <si>
    <t xml:space="preserve">AO13943</t>
  </si>
  <si>
    <t xml:space="preserve">AO25541</t>
  </si>
  <si>
    <t xml:space="preserve">AO17098</t>
  </si>
  <si>
    <t xml:space="preserve">AO22788</t>
  </si>
  <si>
    <t xml:space="preserve">AO24582</t>
  </si>
  <si>
    <t xml:space="preserve">AO21338</t>
  </si>
  <si>
    <t xml:space="preserve">G21228</t>
  </si>
  <si>
    <t xml:space="preserve">G23248</t>
  </si>
  <si>
    <t xml:space="preserve">G17472</t>
  </si>
  <si>
    <t xml:space="preserve">G25334</t>
  </si>
  <si>
    <t xml:space="preserve">G23853</t>
  </si>
  <si>
    <t xml:space="preserve">G24918</t>
  </si>
  <si>
    <t xml:space="preserve">G21956</t>
  </si>
  <si>
    <t xml:space="preserve">G24754</t>
  </si>
  <si>
    <t xml:space="preserve">G13596</t>
  </si>
  <si>
    <t xml:space="preserve">G22667</t>
  </si>
  <si>
    <t xml:space="preserve">G22398</t>
  </si>
  <si>
    <t xml:space="preserve">G23722</t>
  </si>
  <si>
    <t xml:space="preserve">G21555</t>
  </si>
  <si>
    <t xml:space="preserve">G23967</t>
  </si>
  <si>
    <t xml:space="preserve">G21563</t>
  </si>
  <si>
    <t xml:space="preserve">G13345</t>
  </si>
  <si>
    <t xml:space="preserve">G24895</t>
  </si>
  <si>
    <t xml:space="preserve">G21379</t>
  </si>
  <si>
    <t xml:space="preserve">G17341</t>
  </si>
  <si>
    <t xml:space="preserve">G10878</t>
  </si>
  <si>
    <t xml:space="preserve">G22691</t>
  </si>
  <si>
    <t xml:space="preserve">G23878</t>
  </si>
  <si>
    <t xml:space="preserve">G23264</t>
  </si>
  <si>
    <t xml:space="preserve">G09033</t>
  </si>
  <si>
    <t xml:space="preserve">G22782</t>
  </si>
  <si>
    <t xml:space="preserve">G10254</t>
  </si>
  <si>
    <t xml:space="preserve">G22028</t>
  </si>
  <si>
    <t xml:space="preserve">G21049</t>
  </si>
  <si>
    <t xml:space="preserve">G23282</t>
  </si>
  <si>
    <t xml:space="preserve">G25308</t>
  </si>
  <si>
    <t xml:space="preserve">G22471</t>
  </si>
  <si>
    <t xml:space="preserve">G23592</t>
  </si>
  <si>
    <t xml:space="preserve">G25920</t>
  </si>
  <si>
    <t xml:space="preserve">G24364</t>
  </si>
  <si>
    <t xml:space="preserve">G22982</t>
  </si>
  <si>
    <t xml:space="preserve">G23461</t>
  </si>
  <si>
    <t xml:space="preserve">G18512</t>
  </si>
  <si>
    <t xml:space="preserve">G23291</t>
  </si>
  <si>
    <t xml:space="preserve">G23231</t>
  </si>
  <si>
    <t xml:space="preserve">G22347</t>
  </si>
  <si>
    <t xml:space="preserve">G23588</t>
  </si>
  <si>
    <t xml:space="preserve">G09565</t>
  </si>
  <si>
    <t xml:space="preserve">G21906</t>
  </si>
  <si>
    <t xml:space="preserve">G22712</t>
  </si>
  <si>
    <t xml:space="preserve">G23902</t>
  </si>
  <si>
    <t xml:space="preserve">G18430</t>
  </si>
  <si>
    <t xml:space="preserve">G23276</t>
  </si>
  <si>
    <t xml:space="preserve">G17879</t>
  </si>
  <si>
    <t xml:space="preserve">G22590</t>
  </si>
  <si>
    <t xml:space="preserve">G23898</t>
  </si>
  <si>
    <t xml:space="preserve">G23419</t>
  </si>
  <si>
    <t xml:space="preserve">G25872</t>
  </si>
  <si>
    <t xml:space="preserve">G18131</t>
  </si>
  <si>
    <t xml:space="preserve">G24109</t>
  </si>
  <si>
    <t xml:space="preserve">G25531</t>
  </si>
  <si>
    <t xml:space="preserve">G18619</t>
  </si>
  <si>
    <t xml:space="preserve">G17402</t>
  </si>
  <si>
    <t xml:space="preserve">G25356</t>
  </si>
  <si>
    <t xml:space="preserve">G23270</t>
  </si>
  <si>
    <t xml:space="preserve">G22986</t>
  </si>
  <si>
    <t xml:space="preserve">min_staj_years</t>
  </si>
  <si>
    <t xml:space="preserve">max_staj_years</t>
  </si>
  <si>
    <t xml:space="preserve">headcount</t>
  </si>
  <si>
    <t xml:space="preserve">avg_flight_hours</t>
  </si>
  <si>
    <t xml:space="preserve">avg_success_rate</t>
  </si>
  <si>
    <t xml:space="preserve">avg_medal_count</t>
  </si>
  <si>
    <t xml:space="preserve">avg_risk_score</t>
  </si>
  <si>
    <t xml:space="preserve">total_staj</t>
  </si>
  <si>
    <t xml:space="preserve">expected_min_staj</t>
  </si>
  <si>
    <t xml:space="preserve">expected_max_staj</t>
  </si>
  <si>
    <t xml:space="preserve">rank_staj_check</t>
  </si>
  <si>
    <t xml:space="preserve">risk_flag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</si>
</sst>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"/>
    <numFmt numFmtId="168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n">
        <v>19.13</v>
      </c>
      <c r="E2" s="2" t="n">
        <v>0.555555555555556</v>
      </c>
      <c r="F2" s="2" t="n">
        <v>131.7</v>
      </c>
      <c r="G2" s="2" t="n">
        <v>0</v>
      </c>
      <c r="H2" s="2" t="n">
        <v>83.9</v>
      </c>
    </row>
    <row r="3" customFormat="false" ht="15" hidden="false" customHeight="false" outlineLevel="0" collapsed="false">
      <c r="A3" s="2" t="s">
        <v>11</v>
      </c>
      <c r="B3" s="2" t="s">
        <v>9</v>
      </c>
      <c r="C3" s="2" t="s">
        <v>12</v>
      </c>
      <c r="D3" s="2" t="n">
        <v>14.03</v>
      </c>
      <c r="E3" s="2"/>
      <c r="F3" s="2" t="n">
        <v>2167.6</v>
      </c>
      <c r="G3" s="2" t="n">
        <v>2</v>
      </c>
      <c r="H3" s="2" t="n">
        <v>58.2</v>
      </c>
    </row>
    <row r="4" customFormat="false" ht="15" hidden="false" customHeight="false" outlineLevel="0" collapsed="false">
      <c r="A4" s="2" t="s">
        <v>13</v>
      </c>
      <c r="B4" s="2" t="s">
        <v>9</v>
      </c>
      <c r="C4" s="2" t="s">
        <v>14</v>
      </c>
      <c r="D4" s="2" t="n">
        <v>8.69</v>
      </c>
      <c r="E4" s="2" t="n">
        <v>1</v>
      </c>
      <c r="F4" s="2" t="n">
        <v>1232.2</v>
      </c>
      <c r="G4" s="2" t="n">
        <v>2</v>
      </c>
      <c r="H4" s="2" t="n">
        <v>60.3</v>
      </c>
    </row>
    <row r="5" customFormat="false" ht="15" hidden="false" customHeight="false" outlineLevel="0" collapsed="false">
      <c r="A5" s="2" t="s">
        <v>15</v>
      </c>
      <c r="B5" s="2" t="s">
        <v>9</v>
      </c>
      <c r="C5" s="2" t="s">
        <v>16</v>
      </c>
      <c r="D5" s="2" t="n">
        <v>4.01</v>
      </c>
      <c r="E5" s="2"/>
      <c r="F5" s="2" t="n">
        <v>0</v>
      </c>
      <c r="G5" s="2" t="n">
        <v>4</v>
      </c>
      <c r="H5" s="2" t="n">
        <v>55.4</v>
      </c>
    </row>
    <row r="6" customFormat="false" ht="15" hidden="false" customHeight="false" outlineLevel="0" collapsed="false">
      <c r="A6" s="2" t="s">
        <v>17</v>
      </c>
      <c r="B6" s="2" t="s">
        <v>9</v>
      </c>
      <c r="C6" s="2" t="s">
        <v>14</v>
      </c>
      <c r="D6" s="2" t="n">
        <v>9.6</v>
      </c>
      <c r="E6" s="2"/>
      <c r="F6" s="2" t="n">
        <v>0</v>
      </c>
      <c r="G6" s="2" t="n">
        <v>2</v>
      </c>
      <c r="H6" s="2" t="n">
        <v>48.1</v>
      </c>
    </row>
    <row r="7" customFormat="false" ht="15" hidden="false" customHeight="false" outlineLevel="0" collapsed="false">
      <c r="A7" s="2" t="s">
        <v>18</v>
      </c>
      <c r="B7" s="2" t="s">
        <v>9</v>
      </c>
      <c r="C7" s="2" t="s">
        <v>19</v>
      </c>
      <c r="D7" s="2" t="n">
        <v>4.44</v>
      </c>
      <c r="E7" s="2" t="n">
        <v>0.954545454545455</v>
      </c>
      <c r="F7" s="2" t="n">
        <v>1786.6</v>
      </c>
      <c r="G7" s="2" t="n">
        <v>3</v>
      </c>
      <c r="H7" s="2" t="n">
        <v>25.7</v>
      </c>
    </row>
    <row r="8" customFormat="false" ht="15" hidden="false" customHeight="false" outlineLevel="0" collapsed="false">
      <c r="A8" s="2" t="s">
        <v>20</v>
      </c>
      <c r="B8" s="2" t="s">
        <v>9</v>
      </c>
      <c r="C8" s="2" t="s">
        <v>14</v>
      </c>
      <c r="D8" s="2" t="n">
        <v>7.03</v>
      </c>
      <c r="E8" s="2" t="n">
        <v>0.8</v>
      </c>
      <c r="F8" s="2" t="n">
        <v>654.7</v>
      </c>
      <c r="G8" s="2" t="n">
        <v>3</v>
      </c>
      <c r="H8" s="2" t="n">
        <v>33.7</v>
      </c>
    </row>
    <row r="9" customFormat="false" ht="15" hidden="false" customHeight="false" outlineLevel="0" collapsed="false">
      <c r="A9" s="2" t="s">
        <v>21</v>
      </c>
      <c r="B9" s="2" t="s">
        <v>9</v>
      </c>
      <c r="C9" s="2" t="s">
        <v>14</v>
      </c>
      <c r="D9" s="2" t="n">
        <v>8.36</v>
      </c>
      <c r="E9" s="2" t="n">
        <v>1</v>
      </c>
      <c r="F9" s="2" t="n">
        <v>624.7</v>
      </c>
      <c r="G9" s="2" t="n">
        <v>1</v>
      </c>
      <c r="H9" s="2" t="n">
        <v>31.2</v>
      </c>
    </row>
    <row r="10" customFormat="false" ht="15" hidden="false" customHeight="false" outlineLevel="0" collapsed="false">
      <c r="A10" s="2" t="s">
        <v>22</v>
      </c>
      <c r="B10" s="2" t="s">
        <v>9</v>
      </c>
      <c r="C10" s="2" t="s">
        <v>12</v>
      </c>
      <c r="D10" s="2" t="n">
        <v>13.01</v>
      </c>
      <c r="E10" s="2" t="n">
        <v>0.5</v>
      </c>
      <c r="F10" s="2" t="n">
        <v>1279.8</v>
      </c>
      <c r="G10" s="2" t="n">
        <v>6</v>
      </c>
      <c r="H10" s="2" t="n">
        <v>58.6</v>
      </c>
    </row>
    <row r="11" customFormat="false" ht="15" hidden="false" customHeight="false" outlineLevel="0" collapsed="false">
      <c r="A11" s="2" t="s">
        <v>23</v>
      </c>
      <c r="B11" s="2" t="s">
        <v>9</v>
      </c>
      <c r="C11" s="2" t="s">
        <v>24</v>
      </c>
      <c r="D11" s="2" t="n">
        <v>2.69</v>
      </c>
      <c r="E11" s="2" t="n">
        <v>0.833333333333333</v>
      </c>
      <c r="F11" s="2" t="n">
        <v>778</v>
      </c>
      <c r="G11" s="2" t="n">
        <v>1</v>
      </c>
      <c r="H11" s="2" t="n">
        <v>47.1</v>
      </c>
    </row>
    <row r="12" customFormat="false" ht="15" hidden="false" customHeight="false" outlineLevel="0" collapsed="false">
      <c r="A12" s="2" t="s">
        <v>25</v>
      </c>
      <c r="B12" s="2" t="s">
        <v>9</v>
      </c>
      <c r="C12" s="2" t="s">
        <v>14</v>
      </c>
      <c r="D12" s="2" t="n">
        <v>9.92</v>
      </c>
      <c r="E12" s="2" t="n">
        <v>0.25</v>
      </c>
      <c r="F12" s="2" t="n">
        <v>415.5</v>
      </c>
      <c r="G12" s="2" t="n">
        <v>0</v>
      </c>
      <c r="H12" s="2" t="n">
        <v>69.1</v>
      </c>
    </row>
    <row r="13" customFormat="false" ht="15" hidden="false" customHeight="false" outlineLevel="0" collapsed="false">
      <c r="A13" s="2" t="s">
        <v>26</v>
      </c>
      <c r="B13" s="2" t="s">
        <v>9</v>
      </c>
      <c r="C13" s="2" t="s">
        <v>12</v>
      </c>
      <c r="D13" s="2" t="n">
        <v>13.14</v>
      </c>
      <c r="E13" s="2" t="n">
        <v>0.842105263157895</v>
      </c>
      <c r="F13" s="2" t="n">
        <v>1122.4</v>
      </c>
      <c r="G13" s="2" t="n">
        <v>2</v>
      </c>
      <c r="H13" s="2" t="n">
        <v>51.3</v>
      </c>
    </row>
    <row r="14" customFormat="false" ht="15" hidden="false" customHeight="false" outlineLevel="0" collapsed="false">
      <c r="A14" s="2" t="s">
        <v>27</v>
      </c>
      <c r="B14" s="2" t="s">
        <v>9</v>
      </c>
      <c r="C14" s="2" t="s">
        <v>14</v>
      </c>
      <c r="D14" s="2" t="n">
        <v>9.47</v>
      </c>
      <c r="E14" s="2" t="n">
        <v>0.833333333333333</v>
      </c>
      <c r="F14" s="2" t="n">
        <v>1332.4</v>
      </c>
      <c r="G14" s="2" t="n">
        <v>0</v>
      </c>
      <c r="H14" s="2" t="n">
        <v>48.3</v>
      </c>
    </row>
    <row r="15" customFormat="false" ht="15" hidden="false" customHeight="false" outlineLevel="0" collapsed="false">
      <c r="A15" s="2" t="s">
        <v>28</v>
      </c>
      <c r="B15" s="2" t="s">
        <v>9</v>
      </c>
      <c r="C15" s="2" t="s">
        <v>19</v>
      </c>
      <c r="D15" s="2" t="n">
        <v>5.41</v>
      </c>
      <c r="E15" s="2" t="n">
        <v>0.863636363636364</v>
      </c>
      <c r="F15" s="2" t="n">
        <v>3414.7</v>
      </c>
      <c r="G15" s="2" t="n">
        <v>2</v>
      </c>
      <c r="H15" s="2" t="n">
        <v>43.3</v>
      </c>
    </row>
    <row r="16" customFormat="false" ht="15" hidden="false" customHeight="false" outlineLevel="0" collapsed="false">
      <c r="A16" s="2" t="s">
        <v>29</v>
      </c>
      <c r="B16" s="2" t="s">
        <v>9</v>
      </c>
      <c r="C16" s="2" t="s">
        <v>24</v>
      </c>
      <c r="D16" s="2" t="n">
        <v>1.58</v>
      </c>
      <c r="E16" s="2" t="n">
        <v>0.857142857142857</v>
      </c>
      <c r="F16" s="2" t="n">
        <v>392.8</v>
      </c>
      <c r="G16" s="2" t="n">
        <v>3</v>
      </c>
      <c r="H16" s="2" t="n">
        <v>41.3</v>
      </c>
    </row>
    <row r="17" customFormat="false" ht="15" hidden="false" customHeight="false" outlineLevel="0" collapsed="false">
      <c r="A17" s="2" t="s">
        <v>30</v>
      </c>
      <c r="B17" s="2" t="s">
        <v>9</v>
      </c>
      <c r="C17" s="2" t="s">
        <v>24</v>
      </c>
      <c r="D17" s="2" t="n">
        <v>1.2</v>
      </c>
      <c r="E17" s="2" t="n">
        <v>0.875</v>
      </c>
      <c r="F17" s="2" t="n">
        <v>340</v>
      </c>
      <c r="G17" s="2" t="n">
        <v>4</v>
      </c>
      <c r="H17" s="2" t="n">
        <v>24.8</v>
      </c>
    </row>
    <row r="18" customFormat="false" ht="15" hidden="false" customHeight="false" outlineLevel="0" collapsed="false">
      <c r="A18" s="2" t="s">
        <v>31</v>
      </c>
      <c r="B18" s="2" t="s">
        <v>9</v>
      </c>
      <c r="C18" s="2" t="s">
        <v>19</v>
      </c>
      <c r="D18" s="2" t="n">
        <v>4.73</v>
      </c>
      <c r="E18" s="2" t="n">
        <v>0.619047619047619</v>
      </c>
      <c r="F18" s="2" t="n">
        <v>1864.6</v>
      </c>
      <c r="G18" s="2" t="n">
        <v>2</v>
      </c>
      <c r="H18" s="2" t="n">
        <v>37.7</v>
      </c>
    </row>
    <row r="19" customFormat="false" ht="15" hidden="false" customHeight="false" outlineLevel="0" collapsed="false">
      <c r="A19" s="2" t="s">
        <v>32</v>
      </c>
      <c r="B19" s="2" t="s">
        <v>9</v>
      </c>
      <c r="C19" s="2" t="s">
        <v>24</v>
      </c>
      <c r="D19" s="2" t="n">
        <v>1.53</v>
      </c>
      <c r="E19" s="2"/>
      <c r="F19" s="2" t="n">
        <v>291.7</v>
      </c>
      <c r="G19" s="2" t="n">
        <v>4</v>
      </c>
      <c r="H19" s="2" t="n">
        <v>52</v>
      </c>
    </row>
    <row r="20" customFormat="false" ht="15" hidden="false" customHeight="false" outlineLevel="0" collapsed="false">
      <c r="A20" s="2" t="s">
        <v>33</v>
      </c>
      <c r="B20" s="2" t="s">
        <v>9</v>
      </c>
      <c r="C20" s="2" t="s">
        <v>19</v>
      </c>
      <c r="D20" s="2" t="n">
        <v>5.22</v>
      </c>
      <c r="E20" s="2" t="n">
        <v>0.666666666666667</v>
      </c>
      <c r="F20" s="2" t="n">
        <v>643.8</v>
      </c>
      <c r="G20" s="2" t="n">
        <v>2</v>
      </c>
      <c r="H20" s="2" t="n">
        <v>37.9</v>
      </c>
    </row>
    <row r="21" customFormat="false" ht="15" hidden="false" customHeight="false" outlineLevel="0" collapsed="false">
      <c r="A21" s="2" t="s">
        <v>34</v>
      </c>
      <c r="B21" s="2" t="s">
        <v>9</v>
      </c>
      <c r="C21" s="2" t="s">
        <v>14</v>
      </c>
      <c r="D21" s="2" t="n">
        <v>7.65</v>
      </c>
      <c r="E21" s="2"/>
      <c r="F21" s="2" t="n">
        <v>0</v>
      </c>
      <c r="G21" s="2" t="n">
        <v>3</v>
      </c>
      <c r="H21" s="2" t="n">
        <v>45.3</v>
      </c>
    </row>
    <row r="22" customFormat="false" ht="15" hidden="false" customHeight="false" outlineLevel="0" collapsed="false">
      <c r="A22" s="2" t="s">
        <v>35</v>
      </c>
      <c r="B22" s="2" t="s">
        <v>9</v>
      </c>
      <c r="C22" s="2" t="s">
        <v>12</v>
      </c>
      <c r="D22" s="2" t="n">
        <v>13.92</v>
      </c>
      <c r="E22" s="2"/>
      <c r="F22" s="2" t="n">
        <v>0</v>
      </c>
      <c r="G22" s="2" t="n">
        <v>5</v>
      </c>
      <c r="H22" s="2" t="n">
        <v>46.4</v>
      </c>
    </row>
    <row r="23" customFormat="false" ht="15" hidden="false" customHeight="false" outlineLevel="0" collapsed="false">
      <c r="A23" s="2" t="s">
        <v>36</v>
      </c>
      <c r="B23" s="2" t="s">
        <v>9</v>
      </c>
      <c r="C23" s="2" t="s">
        <v>14</v>
      </c>
      <c r="D23" s="2" t="n">
        <v>10.37</v>
      </c>
      <c r="E23" s="2"/>
      <c r="F23" s="2" t="n">
        <v>0</v>
      </c>
      <c r="G23" s="2" t="n">
        <v>0</v>
      </c>
      <c r="H23" s="2" t="n">
        <v>54.6</v>
      </c>
    </row>
    <row r="24" customFormat="false" ht="15" hidden="false" customHeight="false" outlineLevel="0" collapsed="false">
      <c r="A24" s="2" t="s">
        <v>37</v>
      </c>
      <c r="B24" s="2" t="s">
        <v>9</v>
      </c>
      <c r="C24" s="2" t="s">
        <v>24</v>
      </c>
      <c r="D24" s="2" t="n">
        <v>1.06</v>
      </c>
      <c r="E24" s="2"/>
      <c r="F24" s="2" t="n">
        <v>0</v>
      </c>
      <c r="G24" s="2" t="n">
        <v>0</v>
      </c>
      <c r="H24" s="2" t="n">
        <v>57.4</v>
      </c>
    </row>
    <row r="25" customFormat="false" ht="15" hidden="false" customHeight="false" outlineLevel="0" collapsed="false">
      <c r="A25" s="2" t="s">
        <v>38</v>
      </c>
      <c r="B25" s="2" t="s">
        <v>9</v>
      </c>
      <c r="C25" s="2" t="s">
        <v>24</v>
      </c>
      <c r="D25" s="2" t="n">
        <v>1.42</v>
      </c>
      <c r="E25" s="2"/>
      <c r="F25" s="2" t="n">
        <v>0</v>
      </c>
      <c r="G25" s="2" t="n">
        <v>0</v>
      </c>
      <c r="H25" s="2" t="n">
        <v>56.8</v>
      </c>
    </row>
    <row r="26" customFormat="false" ht="15" hidden="false" customHeight="false" outlineLevel="0" collapsed="false">
      <c r="A26" s="2" t="s">
        <v>39</v>
      </c>
      <c r="B26" s="2" t="s">
        <v>9</v>
      </c>
      <c r="C26" s="2" t="s">
        <v>14</v>
      </c>
      <c r="D26" s="2" t="n">
        <v>8.26</v>
      </c>
      <c r="E26" s="2"/>
      <c r="F26" s="2" t="n">
        <v>0</v>
      </c>
      <c r="G26" s="2" t="n">
        <v>0</v>
      </c>
      <c r="H26" s="2" t="n">
        <v>44.9</v>
      </c>
    </row>
    <row r="27" customFormat="false" ht="15" hidden="false" customHeight="false" outlineLevel="0" collapsed="false">
      <c r="A27" s="2" t="s">
        <v>40</v>
      </c>
      <c r="B27" s="2" t="s">
        <v>9</v>
      </c>
      <c r="C27" s="2" t="s">
        <v>19</v>
      </c>
      <c r="D27" s="2" t="n">
        <v>5.83</v>
      </c>
      <c r="E27" s="2" t="n">
        <v>0.851851851851852</v>
      </c>
      <c r="F27" s="2" t="n">
        <v>2127.1</v>
      </c>
      <c r="G27" s="2" t="n">
        <v>0</v>
      </c>
      <c r="H27" s="2" t="n">
        <v>63.3</v>
      </c>
    </row>
    <row r="28" customFormat="false" ht="15" hidden="false" customHeight="false" outlineLevel="0" collapsed="false">
      <c r="A28" s="2" t="s">
        <v>41</v>
      </c>
      <c r="B28" s="2" t="s">
        <v>9</v>
      </c>
      <c r="C28" s="2" t="s">
        <v>24</v>
      </c>
      <c r="D28" s="2" t="n">
        <v>1.49</v>
      </c>
      <c r="E28" s="2" t="n">
        <v>1</v>
      </c>
      <c r="F28" s="2" t="n">
        <v>273.3</v>
      </c>
      <c r="G28" s="2" t="n">
        <v>2</v>
      </c>
      <c r="H28" s="2" t="n">
        <v>32.7</v>
      </c>
    </row>
    <row r="29" customFormat="false" ht="15" hidden="false" customHeight="false" outlineLevel="0" collapsed="false">
      <c r="A29" s="2" t="s">
        <v>42</v>
      </c>
      <c r="B29" s="2" t="s">
        <v>9</v>
      </c>
      <c r="C29" s="2" t="s">
        <v>24</v>
      </c>
      <c r="D29" s="2" t="n">
        <v>2.17</v>
      </c>
      <c r="E29" s="2" t="n">
        <v>1</v>
      </c>
      <c r="F29" s="2" t="n">
        <v>546.7</v>
      </c>
      <c r="G29" s="2" t="n">
        <v>4</v>
      </c>
      <c r="H29" s="2" t="n">
        <v>36.7</v>
      </c>
    </row>
    <row r="30" customFormat="false" ht="15" hidden="false" customHeight="false" outlineLevel="0" collapsed="false">
      <c r="A30" s="2" t="s">
        <v>43</v>
      </c>
      <c r="B30" s="2" t="s">
        <v>9</v>
      </c>
      <c r="C30" s="2" t="s">
        <v>19</v>
      </c>
      <c r="D30" s="2" t="n">
        <v>4.44</v>
      </c>
      <c r="E30" s="2"/>
      <c r="F30" s="2" t="n">
        <v>1039.2</v>
      </c>
      <c r="G30" s="2" t="n">
        <v>0</v>
      </c>
      <c r="H30" s="2" t="n">
        <v>64.7</v>
      </c>
    </row>
    <row r="31" customFormat="false" ht="15" hidden="false" customHeight="false" outlineLevel="0" collapsed="false">
      <c r="A31" s="2" t="s">
        <v>44</v>
      </c>
      <c r="B31" s="2" t="s">
        <v>9</v>
      </c>
      <c r="C31" s="2" t="s">
        <v>19</v>
      </c>
      <c r="D31" s="2" t="n">
        <v>4.18</v>
      </c>
      <c r="E31" s="2" t="n">
        <v>0.9</v>
      </c>
      <c r="F31" s="2" t="n">
        <v>375.5</v>
      </c>
      <c r="G31" s="2" t="n">
        <v>2</v>
      </c>
      <c r="H31" s="2" t="n">
        <v>40.7</v>
      </c>
    </row>
    <row r="32" customFormat="false" ht="15" hidden="false" customHeight="false" outlineLevel="0" collapsed="false">
      <c r="A32" s="2" t="s">
        <v>45</v>
      </c>
      <c r="B32" s="2" t="s">
        <v>9</v>
      </c>
      <c r="C32" s="2" t="s">
        <v>24</v>
      </c>
      <c r="D32" s="2" t="n">
        <v>2.25</v>
      </c>
      <c r="E32" s="2" t="n">
        <v>1</v>
      </c>
      <c r="F32" s="2" t="n">
        <v>369.4</v>
      </c>
      <c r="G32" s="2" t="n">
        <v>4</v>
      </c>
      <c r="H32" s="2" t="n">
        <v>47.4</v>
      </c>
    </row>
    <row r="33" customFormat="false" ht="15" hidden="false" customHeight="false" outlineLevel="0" collapsed="false">
      <c r="A33" s="2" t="s">
        <v>46</v>
      </c>
      <c r="B33" s="2" t="s">
        <v>9</v>
      </c>
      <c r="C33" s="2" t="s">
        <v>19</v>
      </c>
      <c r="D33" s="2" t="n">
        <v>4.13</v>
      </c>
      <c r="E33" s="2" t="n">
        <v>0.941176470588235</v>
      </c>
      <c r="F33" s="2" t="n">
        <v>1266.6</v>
      </c>
      <c r="G33" s="2" t="n">
        <v>4</v>
      </c>
      <c r="H33" s="2" t="n">
        <v>29.7</v>
      </c>
    </row>
    <row r="34" customFormat="false" ht="15" hidden="false" customHeight="false" outlineLevel="0" collapsed="false">
      <c r="A34" s="2" t="s">
        <v>47</v>
      </c>
      <c r="B34" s="2" t="s">
        <v>9</v>
      </c>
      <c r="C34" s="2" t="s">
        <v>12</v>
      </c>
      <c r="D34" s="2" t="n">
        <v>13.59</v>
      </c>
      <c r="E34" s="2" t="n">
        <v>1</v>
      </c>
      <c r="F34" s="2" t="n">
        <v>1728.9</v>
      </c>
      <c r="G34" s="2" t="n">
        <v>1</v>
      </c>
      <c r="H34" s="2" t="n">
        <v>62.1</v>
      </c>
    </row>
    <row r="35" customFormat="false" ht="15" hidden="false" customHeight="false" outlineLevel="0" collapsed="false">
      <c r="A35" s="2" t="s">
        <v>48</v>
      </c>
      <c r="B35" s="2" t="s">
        <v>9</v>
      </c>
      <c r="C35" s="2" t="s">
        <v>14</v>
      </c>
      <c r="D35" s="2" t="n">
        <v>7.05</v>
      </c>
      <c r="E35" s="2" t="n">
        <v>0.961538461538462</v>
      </c>
      <c r="F35" s="2" t="n">
        <v>1273.4</v>
      </c>
      <c r="G35" s="2" t="n">
        <v>1</v>
      </c>
      <c r="H35" s="2" t="n">
        <v>59.6</v>
      </c>
    </row>
    <row r="36" customFormat="false" ht="15" hidden="false" customHeight="false" outlineLevel="0" collapsed="false">
      <c r="A36" s="2" t="s">
        <v>49</v>
      </c>
      <c r="B36" s="2" t="s">
        <v>9</v>
      </c>
      <c r="C36" s="2" t="s">
        <v>14</v>
      </c>
      <c r="D36" s="2" t="n">
        <v>9.15</v>
      </c>
      <c r="E36" s="2" t="n">
        <v>1</v>
      </c>
      <c r="F36" s="2" t="n">
        <v>317.5</v>
      </c>
      <c r="G36" s="2" t="n">
        <v>0</v>
      </c>
      <c r="H36" s="2" t="n">
        <v>47.4</v>
      </c>
    </row>
    <row r="37" customFormat="false" ht="15" hidden="false" customHeight="false" outlineLevel="0" collapsed="false">
      <c r="A37" s="2" t="s">
        <v>50</v>
      </c>
      <c r="B37" s="2" t="s">
        <v>9</v>
      </c>
      <c r="C37" s="2" t="s">
        <v>19</v>
      </c>
      <c r="D37" s="2" t="n">
        <v>4.22</v>
      </c>
      <c r="E37" s="2" t="n">
        <v>0.888888888888889</v>
      </c>
      <c r="F37" s="2" t="n">
        <v>1304.3</v>
      </c>
      <c r="G37" s="2" t="n">
        <v>1</v>
      </c>
      <c r="H37" s="2" t="n">
        <v>53.4</v>
      </c>
    </row>
    <row r="38" customFormat="false" ht="15" hidden="false" customHeight="false" outlineLevel="0" collapsed="false">
      <c r="A38" s="2" t="s">
        <v>51</v>
      </c>
      <c r="B38" s="2" t="s">
        <v>9</v>
      </c>
      <c r="C38" s="2" t="s">
        <v>19</v>
      </c>
      <c r="D38" s="2" t="n">
        <v>5.91</v>
      </c>
      <c r="E38" s="2" t="n">
        <v>1</v>
      </c>
      <c r="F38" s="2" t="n">
        <v>920.8</v>
      </c>
      <c r="G38" s="2" t="n">
        <v>3</v>
      </c>
      <c r="H38" s="2" t="n">
        <v>54.8</v>
      </c>
    </row>
    <row r="39" customFormat="false" ht="15" hidden="false" customHeight="false" outlineLevel="0" collapsed="false">
      <c r="A39" s="2" t="s">
        <v>52</v>
      </c>
      <c r="B39" s="2" t="s">
        <v>9</v>
      </c>
      <c r="C39" s="2" t="s">
        <v>24</v>
      </c>
      <c r="D39" s="2" t="n">
        <v>2</v>
      </c>
      <c r="E39" s="2"/>
      <c r="F39" s="2" t="n">
        <v>389.1</v>
      </c>
      <c r="G39" s="2" t="n">
        <v>3</v>
      </c>
      <c r="H39" s="2" t="n">
        <v>54.9</v>
      </c>
    </row>
    <row r="40" customFormat="false" ht="15" hidden="false" customHeight="false" outlineLevel="0" collapsed="false">
      <c r="A40" s="2" t="s">
        <v>53</v>
      </c>
      <c r="B40" s="2" t="s">
        <v>9</v>
      </c>
      <c r="C40" s="2" t="s">
        <v>12</v>
      </c>
      <c r="D40" s="2" t="n">
        <v>14.61</v>
      </c>
      <c r="E40" s="2" t="n">
        <v>0.916666666666667</v>
      </c>
      <c r="F40" s="2" t="n">
        <v>444.6</v>
      </c>
      <c r="G40" s="2" t="n">
        <v>1</v>
      </c>
      <c r="H40" s="2" t="n">
        <v>69</v>
      </c>
    </row>
    <row r="41" customFormat="false" ht="15" hidden="false" customHeight="false" outlineLevel="0" collapsed="false">
      <c r="A41" s="2" t="s">
        <v>54</v>
      </c>
      <c r="B41" s="2" t="s">
        <v>9</v>
      </c>
      <c r="C41" s="2" t="s">
        <v>19</v>
      </c>
      <c r="D41" s="2" t="n">
        <v>5.22</v>
      </c>
      <c r="E41" s="2" t="n">
        <v>0.888888888888889</v>
      </c>
      <c r="F41" s="2" t="n">
        <v>809.6</v>
      </c>
      <c r="G41" s="2" t="n">
        <v>1</v>
      </c>
      <c r="H41" s="2" t="n">
        <v>37.7</v>
      </c>
    </row>
    <row r="42" customFormat="false" ht="15" hidden="false" customHeight="false" outlineLevel="0" collapsed="false">
      <c r="A42" s="2" t="s">
        <v>55</v>
      </c>
      <c r="B42" s="2" t="s">
        <v>9</v>
      </c>
      <c r="C42" s="2" t="s">
        <v>14</v>
      </c>
      <c r="D42" s="2" t="n">
        <v>9.16</v>
      </c>
      <c r="E42" s="2" t="n">
        <v>1</v>
      </c>
      <c r="F42" s="2" t="n">
        <v>252</v>
      </c>
      <c r="G42" s="2" t="n">
        <v>1</v>
      </c>
      <c r="H42" s="2" t="n">
        <v>40.9</v>
      </c>
    </row>
    <row r="43" customFormat="false" ht="15" hidden="false" customHeight="false" outlineLevel="0" collapsed="false">
      <c r="A43" s="2" t="s">
        <v>56</v>
      </c>
      <c r="B43" s="2" t="s">
        <v>9</v>
      </c>
      <c r="C43" s="2" t="s">
        <v>19</v>
      </c>
      <c r="D43" s="2" t="n">
        <v>4</v>
      </c>
      <c r="E43" s="2" t="n">
        <v>0.875</v>
      </c>
      <c r="F43" s="2" t="n">
        <v>155.5</v>
      </c>
      <c r="G43" s="2" t="n">
        <v>0</v>
      </c>
      <c r="H43" s="2" t="n">
        <v>46</v>
      </c>
    </row>
    <row r="44" customFormat="false" ht="15" hidden="false" customHeight="false" outlineLevel="0" collapsed="false">
      <c r="A44" s="2" t="s">
        <v>57</v>
      </c>
      <c r="B44" s="2" t="s">
        <v>9</v>
      </c>
      <c r="C44" s="2" t="s">
        <v>24</v>
      </c>
      <c r="D44" s="2" t="n">
        <v>2.86</v>
      </c>
      <c r="E44" s="2"/>
      <c r="F44" s="2" t="n">
        <v>810.9</v>
      </c>
      <c r="G44" s="2" t="n">
        <v>2</v>
      </c>
      <c r="H44" s="2" t="n">
        <v>46.3</v>
      </c>
    </row>
    <row r="45" customFormat="false" ht="15" hidden="false" customHeight="false" outlineLevel="0" collapsed="false">
      <c r="A45" s="2" t="s">
        <v>58</v>
      </c>
      <c r="B45" s="2" t="s">
        <v>9</v>
      </c>
      <c r="C45" s="2" t="s">
        <v>14</v>
      </c>
      <c r="D45" s="2" t="n">
        <v>8.23</v>
      </c>
      <c r="E45" s="2" t="n">
        <v>1</v>
      </c>
      <c r="F45" s="2" t="n">
        <v>371.2</v>
      </c>
      <c r="G45" s="2" t="n">
        <v>1</v>
      </c>
      <c r="H45" s="2" t="n">
        <v>36.4</v>
      </c>
    </row>
    <row r="46" customFormat="false" ht="15" hidden="false" customHeight="false" outlineLevel="0" collapsed="false">
      <c r="A46" s="2" t="s">
        <v>59</v>
      </c>
      <c r="B46" s="2" t="s">
        <v>9</v>
      </c>
      <c r="C46" s="2" t="s">
        <v>14</v>
      </c>
      <c r="D46" s="2" t="n">
        <v>10.79</v>
      </c>
      <c r="E46" s="2" t="n">
        <v>0.647058823529412</v>
      </c>
      <c r="F46" s="2" t="n">
        <v>1233</v>
      </c>
      <c r="G46" s="2" t="n">
        <v>4</v>
      </c>
      <c r="H46" s="2" t="n">
        <v>77.6</v>
      </c>
    </row>
    <row r="47" customFormat="false" ht="15" hidden="false" customHeight="false" outlineLevel="0" collapsed="false">
      <c r="A47" s="2" t="s">
        <v>60</v>
      </c>
      <c r="B47" s="2" t="s">
        <v>9</v>
      </c>
      <c r="C47" s="2" t="s">
        <v>16</v>
      </c>
      <c r="D47" s="2" t="n">
        <v>3.14</v>
      </c>
      <c r="E47" s="2" t="n">
        <v>1</v>
      </c>
      <c r="F47" s="2" t="n">
        <v>223.3</v>
      </c>
      <c r="G47" s="2" t="n">
        <v>2</v>
      </c>
      <c r="H47" s="2" t="n">
        <v>46.3</v>
      </c>
    </row>
    <row r="48" customFormat="false" ht="15" hidden="false" customHeight="false" outlineLevel="0" collapsed="false">
      <c r="A48" s="2" t="s">
        <v>61</v>
      </c>
      <c r="B48" s="2" t="s">
        <v>9</v>
      </c>
      <c r="C48" s="2" t="s">
        <v>62</v>
      </c>
      <c r="D48" s="2" t="n">
        <v>6.93</v>
      </c>
      <c r="E48" s="2"/>
      <c r="F48" s="2" t="n">
        <v>3071.6</v>
      </c>
      <c r="G48" s="2" t="n">
        <v>2</v>
      </c>
      <c r="H48" s="2" t="n">
        <v>50.2</v>
      </c>
    </row>
    <row r="49" customFormat="false" ht="15" hidden="false" customHeight="false" outlineLevel="0" collapsed="false">
      <c r="A49" s="2" t="s">
        <v>63</v>
      </c>
      <c r="B49" s="2" t="s">
        <v>9</v>
      </c>
      <c r="C49" s="2" t="s">
        <v>16</v>
      </c>
      <c r="D49" s="2" t="n">
        <v>3.53</v>
      </c>
      <c r="E49" s="2" t="n">
        <v>0.833333333333333</v>
      </c>
      <c r="F49" s="2" t="n">
        <v>251.4</v>
      </c>
      <c r="G49" s="2" t="n">
        <v>2</v>
      </c>
      <c r="H49" s="2" t="n">
        <v>49.4</v>
      </c>
    </row>
    <row r="50" customFormat="false" ht="15" hidden="false" customHeight="false" outlineLevel="0" collapsed="false">
      <c r="A50" s="2" t="s">
        <v>64</v>
      </c>
      <c r="B50" s="2" t="s">
        <v>9</v>
      </c>
      <c r="C50" s="2" t="s">
        <v>16</v>
      </c>
      <c r="D50" s="2" t="n">
        <v>3.42</v>
      </c>
      <c r="E50" s="2" t="n">
        <v>0.5</v>
      </c>
      <c r="F50" s="2" t="n">
        <v>610.1</v>
      </c>
      <c r="G50" s="2" t="n">
        <v>0</v>
      </c>
      <c r="H50" s="2" t="n">
        <v>52.9</v>
      </c>
    </row>
    <row r="51" customFormat="false" ht="15" hidden="false" customHeight="false" outlineLevel="0" collapsed="false">
      <c r="A51" s="2" t="s">
        <v>65</v>
      </c>
      <c r="B51" s="2" t="s">
        <v>9</v>
      </c>
      <c r="C51" s="2" t="s">
        <v>62</v>
      </c>
      <c r="D51" s="2" t="n">
        <v>8.02</v>
      </c>
      <c r="E51" s="2" t="n">
        <v>0.75</v>
      </c>
      <c r="F51" s="2" t="n">
        <v>597</v>
      </c>
      <c r="G51" s="2" t="n">
        <v>5</v>
      </c>
      <c r="H51" s="2" t="n">
        <v>62.6</v>
      </c>
    </row>
    <row r="52" customFormat="false" ht="15" hidden="false" customHeight="false" outlineLevel="0" collapsed="false">
      <c r="A52" s="2" t="s">
        <v>66</v>
      </c>
      <c r="B52" s="2" t="s">
        <v>9</v>
      </c>
      <c r="C52" s="2" t="s">
        <v>62</v>
      </c>
      <c r="D52" s="2" t="n">
        <v>14.75</v>
      </c>
      <c r="E52" s="2" t="n">
        <v>0.875</v>
      </c>
      <c r="F52" s="2" t="n">
        <v>1108</v>
      </c>
      <c r="G52" s="2" t="n">
        <v>1</v>
      </c>
      <c r="H52" s="2" t="n">
        <v>42.2</v>
      </c>
    </row>
    <row r="53" customFormat="false" ht="15" hidden="false" customHeight="false" outlineLevel="0" collapsed="false">
      <c r="A53" s="2" t="s">
        <v>67</v>
      </c>
      <c r="B53" s="2" t="s">
        <v>9</v>
      </c>
      <c r="C53" s="2" t="s">
        <v>16</v>
      </c>
      <c r="D53" s="2" t="n">
        <v>3.24</v>
      </c>
      <c r="E53" s="2"/>
      <c r="F53" s="2" t="n">
        <v>836.8</v>
      </c>
      <c r="G53" s="2" t="n">
        <v>1</v>
      </c>
      <c r="H53" s="2" t="n">
        <v>58.5</v>
      </c>
    </row>
    <row r="54" customFormat="false" ht="15" hidden="false" customHeight="false" outlineLevel="0" collapsed="false">
      <c r="A54" s="2" t="s">
        <v>68</v>
      </c>
      <c r="B54" s="2" t="s">
        <v>9</v>
      </c>
      <c r="C54" s="2" t="s">
        <v>16</v>
      </c>
      <c r="D54" s="2" t="n">
        <v>4.18</v>
      </c>
      <c r="E54" s="2" t="n">
        <v>0.666666666666667</v>
      </c>
      <c r="F54" s="2" t="n">
        <v>574.4</v>
      </c>
      <c r="G54" s="2" t="n">
        <v>3</v>
      </c>
      <c r="H54" s="2" t="n">
        <v>54.6</v>
      </c>
    </row>
    <row r="55" customFormat="false" ht="15" hidden="false" customHeight="false" outlineLevel="0" collapsed="false">
      <c r="A55" s="2" t="s">
        <v>69</v>
      </c>
      <c r="B55" s="2" t="s">
        <v>9</v>
      </c>
      <c r="C55" s="2" t="s">
        <v>70</v>
      </c>
      <c r="D55" s="2" t="n">
        <v>1.14</v>
      </c>
      <c r="E55" s="2" t="n">
        <v>0.714285714285714</v>
      </c>
      <c r="F55" s="2" t="n">
        <v>215.7</v>
      </c>
      <c r="G55" s="2" t="n">
        <v>1</v>
      </c>
      <c r="H55" s="2" t="n">
        <v>72.7</v>
      </c>
    </row>
    <row r="56" customFormat="false" ht="15" hidden="false" customHeight="false" outlineLevel="0" collapsed="false">
      <c r="A56" s="2" t="s">
        <v>71</v>
      </c>
      <c r="B56" s="2" t="s">
        <v>9</v>
      </c>
      <c r="C56" s="2" t="s">
        <v>70</v>
      </c>
      <c r="D56" s="2" t="n">
        <v>2.81</v>
      </c>
      <c r="E56" s="2" t="n">
        <v>0.8</v>
      </c>
      <c r="F56" s="2" t="n">
        <v>715.3</v>
      </c>
      <c r="G56" s="2" t="n">
        <v>0</v>
      </c>
      <c r="H56" s="2" t="n">
        <v>61.8</v>
      </c>
    </row>
    <row r="57" customFormat="false" ht="15" hidden="false" customHeight="false" outlineLevel="0" collapsed="false">
      <c r="A57" s="2" t="s">
        <v>72</v>
      </c>
      <c r="B57" s="2" t="s">
        <v>9</v>
      </c>
      <c r="C57" s="2" t="s">
        <v>70</v>
      </c>
      <c r="D57" s="2" t="n">
        <v>1.48</v>
      </c>
      <c r="E57" s="2" t="n">
        <v>0.857142857142857</v>
      </c>
      <c r="F57" s="2" t="n">
        <v>296.6</v>
      </c>
      <c r="G57" s="2" t="n">
        <v>1</v>
      </c>
      <c r="H57" s="2" t="n">
        <v>51.9</v>
      </c>
    </row>
    <row r="58" customFormat="false" ht="15" hidden="false" customHeight="false" outlineLevel="0" collapsed="false">
      <c r="A58" s="2" t="s">
        <v>73</v>
      </c>
      <c r="B58" s="2" t="s">
        <v>9</v>
      </c>
      <c r="C58" s="2" t="s">
        <v>70</v>
      </c>
      <c r="D58" s="2" t="n">
        <v>1.26</v>
      </c>
      <c r="E58" s="2" t="n">
        <v>0.666666666666667</v>
      </c>
      <c r="F58" s="2" t="n">
        <v>303.6</v>
      </c>
      <c r="G58" s="2" t="n">
        <v>0</v>
      </c>
      <c r="H58" s="2" t="n">
        <v>60.1</v>
      </c>
    </row>
    <row r="59" customFormat="false" ht="15" hidden="false" customHeight="false" outlineLevel="0" collapsed="false">
      <c r="A59" s="2" t="s">
        <v>74</v>
      </c>
      <c r="B59" s="2" t="s">
        <v>9</v>
      </c>
      <c r="C59" s="2" t="s">
        <v>16</v>
      </c>
      <c r="D59" s="2" t="n">
        <v>3.95</v>
      </c>
      <c r="E59" s="2" t="n">
        <v>0.909090909090909</v>
      </c>
      <c r="F59" s="2" t="n">
        <v>208.3</v>
      </c>
      <c r="G59" s="2" t="n">
        <v>2</v>
      </c>
      <c r="H59" s="2" t="n">
        <v>55.7</v>
      </c>
    </row>
    <row r="60" customFormat="false" ht="15" hidden="false" customHeight="false" outlineLevel="0" collapsed="false">
      <c r="A60" s="2" t="s">
        <v>75</v>
      </c>
      <c r="B60" s="2" t="s">
        <v>9</v>
      </c>
      <c r="C60" s="2" t="s">
        <v>62</v>
      </c>
      <c r="D60" s="2" t="n">
        <v>7.86</v>
      </c>
      <c r="E60" s="2" t="n">
        <v>0.789473684210526</v>
      </c>
      <c r="F60" s="2" t="n">
        <v>1486.5</v>
      </c>
      <c r="G60" s="2" t="n">
        <v>5</v>
      </c>
      <c r="H60" s="2" t="n">
        <v>66.1</v>
      </c>
    </row>
    <row r="61" customFormat="false" ht="15" hidden="false" customHeight="false" outlineLevel="0" collapsed="false">
      <c r="A61" s="2" t="s">
        <v>76</v>
      </c>
      <c r="B61" s="2" t="s">
        <v>9</v>
      </c>
      <c r="C61" s="2" t="s">
        <v>16</v>
      </c>
      <c r="D61" s="2" t="n">
        <v>3.85</v>
      </c>
      <c r="E61" s="2" t="n">
        <v>0.8125</v>
      </c>
      <c r="F61" s="2" t="n">
        <v>1129.1</v>
      </c>
      <c r="G61" s="2" t="n">
        <v>3</v>
      </c>
      <c r="H61" s="2" t="n">
        <v>54.9</v>
      </c>
    </row>
    <row r="62" customFormat="false" ht="15" hidden="false" customHeight="false" outlineLevel="0" collapsed="false">
      <c r="A62" s="2" t="s">
        <v>77</v>
      </c>
      <c r="B62" s="2" t="s">
        <v>9</v>
      </c>
      <c r="C62" s="2" t="s">
        <v>62</v>
      </c>
      <c r="D62" s="2" t="n">
        <v>15.1</v>
      </c>
      <c r="E62" s="2" t="n">
        <v>0.947368421052632</v>
      </c>
      <c r="F62" s="2" t="n">
        <v>3435.9</v>
      </c>
      <c r="G62" s="2" t="n">
        <v>4</v>
      </c>
      <c r="H62" s="2" t="n">
        <v>55</v>
      </c>
    </row>
    <row r="63" customFormat="false" ht="15" hidden="false" customHeight="false" outlineLevel="0" collapsed="false">
      <c r="A63" s="2" t="s">
        <v>78</v>
      </c>
      <c r="B63" s="2" t="s">
        <v>9</v>
      </c>
      <c r="C63" s="2" t="s">
        <v>70</v>
      </c>
      <c r="D63" s="2" t="n">
        <v>1.81</v>
      </c>
      <c r="E63" s="2" t="n">
        <v>1</v>
      </c>
      <c r="F63" s="2" t="n">
        <v>351.5</v>
      </c>
      <c r="G63" s="2" t="n">
        <v>2</v>
      </c>
      <c r="H63" s="2" t="n">
        <v>36</v>
      </c>
    </row>
    <row r="64" customFormat="false" ht="15" hidden="false" customHeight="false" outlineLevel="0" collapsed="false">
      <c r="A64" s="2" t="s">
        <v>79</v>
      </c>
      <c r="B64" s="2" t="s">
        <v>9</v>
      </c>
      <c r="C64" s="2" t="s">
        <v>62</v>
      </c>
      <c r="D64" s="2" t="n">
        <v>8.73</v>
      </c>
      <c r="E64" s="2" t="n">
        <v>1</v>
      </c>
      <c r="F64" s="2" t="n">
        <v>208.1</v>
      </c>
      <c r="G64" s="2" t="n">
        <v>1</v>
      </c>
      <c r="H64" s="2" t="n">
        <v>58.2</v>
      </c>
    </row>
    <row r="65" customFormat="false" ht="15" hidden="false" customHeight="false" outlineLevel="0" collapsed="false">
      <c r="A65" s="2" t="s">
        <v>80</v>
      </c>
      <c r="B65" s="2" t="s">
        <v>9</v>
      </c>
      <c r="C65" s="2" t="s">
        <v>16</v>
      </c>
      <c r="D65" s="2" t="n">
        <v>3.84</v>
      </c>
      <c r="E65" s="2" t="n">
        <v>0.947368421052632</v>
      </c>
      <c r="F65" s="2" t="n">
        <v>959.2</v>
      </c>
      <c r="G65" s="2" t="n">
        <v>4</v>
      </c>
      <c r="H65" s="2" t="n">
        <v>51</v>
      </c>
    </row>
    <row r="66" customFormat="false" ht="15" hidden="false" customHeight="false" outlineLevel="0" collapsed="false">
      <c r="A66" s="2" t="s">
        <v>81</v>
      </c>
      <c r="B66" s="2" t="s">
        <v>9</v>
      </c>
      <c r="C66" s="2" t="s">
        <v>70</v>
      </c>
      <c r="D66" s="2" t="n">
        <v>2.85</v>
      </c>
      <c r="E66" s="2" t="n">
        <v>0.75</v>
      </c>
      <c r="F66" s="2" t="n">
        <v>658.5</v>
      </c>
      <c r="G66" s="2" t="n">
        <v>0</v>
      </c>
      <c r="H66" s="2" t="n">
        <v>51.2</v>
      </c>
    </row>
    <row r="67" customFormat="false" ht="15" hidden="false" customHeight="false" outlineLevel="0" collapsed="false">
      <c r="A67" s="2" t="s">
        <v>82</v>
      </c>
      <c r="B67" s="2" t="s">
        <v>9</v>
      </c>
      <c r="C67" s="2" t="s">
        <v>62</v>
      </c>
      <c r="D67" s="2" t="n">
        <v>13.25</v>
      </c>
      <c r="E67" s="2"/>
      <c r="F67" s="2" t="n">
        <v>0</v>
      </c>
      <c r="G67" s="2" t="n">
        <v>6</v>
      </c>
      <c r="H67" s="2" t="n">
        <v>57.4</v>
      </c>
    </row>
    <row r="68" customFormat="false" ht="15" hidden="false" customHeight="false" outlineLevel="0" collapsed="false">
      <c r="A68" s="2" t="s">
        <v>83</v>
      </c>
      <c r="B68" s="2" t="s">
        <v>9</v>
      </c>
      <c r="C68" s="2" t="s">
        <v>62</v>
      </c>
      <c r="D68" s="2" t="n">
        <v>17.54</v>
      </c>
      <c r="E68" s="2"/>
      <c r="F68" s="2" t="n">
        <v>0</v>
      </c>
      <c r="G68" s="2" t="n">
        <v>0</v>
      </c>
      <c r="H68" s="2" t="n">
        <v>57.4</v>
      </c>
    </row>
    <row r="69" customFormat="false" ht="15" hidden="false" customHeight="false" outlineLevel="0" collapsed="false">
      <c r="A69" s="2" t="s">
        <v>84</v>
      </c>
      <c r="B69" s="2" t="s">
        <v>9</v>
      </c>
      <c r="C69" s="2" t="s">
        <v>62</v>
      </c>
      <c r="D69" s="2" t="n">
        <v>17.73</v>
      </c>
      <c r="E69" s="2"/>
      <c r="F69" s="2" t="n">
        <v>0</v>
      </c>
      <c r="G69" s="2" t="n">
        <v>0</v>
      </c>
      <c r="H69" s="2" t="n">
        <v>57.4</v>
      </c>
    </row>
    <row r="70" customFormat="false" ht="15" hidden="false" customHeight="false" outlineLevel="0" collapsed="false">
      <c r="A70" s="2" t="s">
        <v>85</v>
      </c>
      <c r="B70" s="2" t="s">
        <v>9</v>
      </c>
      <c r="C70" s="2" t="s">
        <v>16</v>
      </c>
      <c r="D70" s="2" t="n">
        <v>3.43</v>
      </c>
      <c r="E70" s="2"/>
      <c r="F70" s="2" t="n">
        <v>0</v>
      </c>
      <c r="G70" s="2" t="n">
        <v>3</v>
      </c>
      <c r="H70" s="2" t="n">
        <v>48.1</v>
      </c>
    </row>
    <row r="71" customFormat="false" ht="15" hidden="false" customHeight="false" outlineLevel="0" collapsed="false">
      <c r="A71" s="2" t="s">
        <v>86</v>
      </c>
      <c r="B71" s="2" t="s">
        <v>9</v>
      </c>
      <c r="C71" s="2" t="s">
        <v>70</v>
      </c>
      <c r="D71" s="2" t="n">
        <v>1.76</v>
      </c>
      <c r="E71" s="2"/>
      <c r="F71" s="2" t="n">
        <v>0</v>
      </c>
      <c r="G71" s="2" t="n">
        <v>1</v>
      </c>
      <c r="H71" s="2" t="n">
        <v>57.4</v>
      </c>
    </row>
    <row r="72" customFormat="false" ht="15" hidden="false" customHeight="false" outlineLevel="0" collapsed="false">
      <c r="A72" s="2" t="s">
        <v>87</v>
      </c>
      <c r="B72" s="2" t="s">
        <v>9</v>
      </c>
      <c r="C72" s="2" t="s">
        <v>70</v>
      </c>
      <c r="D72" s="2" t="n">
        <v>2.57</v>
      </c>
      <c r="E72" s="2"/>
      <c r="F72" s="2" t="n">
        <v>0</v>
      </c>
      <c r="G72" s="2" t="n">
        <v>4</v>
      </c>
      <c r="H72" s="2" t="n">
        <v>48.1</v>
      </c>
    </row>
    <row r="73" customFormat="false" ht="15" hidden="false" customHeight="false" outlineLevel="0" collapsed="false">
      <c r="A73" s="2" t="s">
        <v>88</v>
      </c>
      <c r="B73" s="2" t="s">
        <v>9</v>
      </c>
      <c r="C73" s="2" t="s">
        <v>16</v>
      </c>
      <c r="D73" s="2" t="n">
        <v>4.91</v>
      </c>
      <c r="E73" s="2"/>
      <c r="F73" s="2" t="n">
        <v>0</v>
      </c>
      <c r="G73" s="2" t="n">
        <v>0</v>
      </c>
      <c r="H73" s="2" t="n">
        <v>48.1</v>
      </c>
    </row>
    <row r="74" customFormat="false" ht="15" hidden="false" customHeight="false" outlineLevel="0" collapsed="false">
      <c r="A74" s="2" t="s">
        <v>89</v>
      </c>
      <c r="B74" s="2" t="s">
        <v>9</v>
      </c>
      <c r="C74" s="2" t="s">
        <v>16</v>
      </c>
      <c r="D74" s="2" t="n">
        <v>4.44</v>
      </c>
      <c r="E74" s="2"/>
      <c r="F74" s="2" t="n">
        <v>0</v>
      </c>
      <c r="G74" s="2" t="n">
        <v>0</v>
      </c>
      <c r="H74" s="2" t="n">
        <v>57.4</v>
      </c>
    </row>
    <row r="75" customFormat="false" ht="15" hidden="false" customHeight="false" outlineLevel="0" collapsed="false">
      <c r="A75" s="2" t="s">
        <v>90</v>
      </c>
      <c r="B75" s="2" t="s">
        <v>9</v>
      </c>
      <c r="C75" s="2" t="s">
        <v>70</v>
      </c>
      <c r="D75" s="2" t="n">
        <v>2.94</v>
      </c>
      <c r="E75" s="2"/>
      <c r="F75" s="2" t="n">
        <v>0</v>
      </c>
      <c r="G75" s="2" t="n">
        <v>0</v>
      </c>
      <c r="H75" s="2" t="n">
        <v>55.9</v>
      </c>
    </row>
    <row r="76" customFormat="false" ht="15" hidden="false" customHeight="false" outlineLevel="0" collapsed="false">
      <c r="A76" s="2" t="s">
        <v>91</v>
      </c>
      <c r="B76" s="2" t="s">
        <v>9</v>
      </c>
      <c r="C76" s="2" t="s">
        <v>16</v>
      </c>
      <c r="D76" s="2" t="n">
        <v>4.5</v>
      </c>
      <c r="E76" s="2"/>
      <c r="F76" s="2" t="n">
        <v>0</v>
      </c>
      <c r="G76" s="2" t="n">
        <v>0</v>
      </c>
      <c r="H76" s="2" t="n">
        <v>48.1</v>
      </c>
    </row>
    <row r="77" customFormat="false" ht="15" hidden="false" customHeight="false" outlineLevel="0" collapsed="false">
      <c r="A77" s="2" t="s">
        <v>92</v>
      </c>
      <c r="B77" s="2" t="s">
        <v>9</v>
      </c>
      <c r="C77" s="2" t="s">
        <v>16</v>
      </c>
      <c r="D77" s="2" t="n">
        <v>4.01</v>
      </c>
      <c r="E77" s="2"/>
      <c r="F77" s="2" t="n">
        <v>0</v>
      </c>
      <c r="G77" s="2" t="n">
        <v>1</v>
      </c>
      <c r="H77" s="2" t="n">
        <v>45.7</v>
      </c>
    </row>
    <row r="78" customFormat="false" ht="15" hidden="false" customHeight="false" outlineLevel="0" collapsed="false">
      <c r="A78" s="2" t="s">
        <v>93</v>
      </c>
      <c r="B78" s="2" t="s">
        <v>9</v>
      </c>
      <c r="C78" s="2" t="s">
        <v>70</v>
      </c>
      <c r="D78" s="2" t="n">
        <v>2.92</v>
      </c>
      <c r="E78" s="2"/>
      <c r="F78" s="2" t="n">
        <v>0</v>
      </c>
      <c r="G78" s="2" t="n">
        <v>4</v>
      </c>
      <c r="H78" s="2" t="n">
        <v>45.7</v>
      </c>
    </row>
    <row r="79" customFormat="false" ht="15" hidden="false" customHeight="false" outlineLevel="0" collapsed="false">
      <c r="A79" s="2" t="s">
        <v>94</v>
      </c>
      <c r="B79" s="2" t="s">
        <v>9</v>
      </c>
      <c r="C79" s="2" t="s">
        <v>70</v>
      </c>
      <c r="D79" s="2" t="n">
        <v>2.19</v>
      </c>
      <c r="E79" s="2"/>
      <c r="F79" s="2" t="n">
        <v>0</v>
      </c>
      <c r="G79" s="2" t="n">
        <v>2</v>
      </c>
      <c r="H79" s="2" t="n">
        <v>46.1</v>
      </c>
    </row>
    <row r="80" customFormat="false" ht="15" hidden="false" customHeight="false" outlineLevel="0" collapsed="false">
      <c r="A80" s="2" t="s">
        <v>95</v>
      </c>
      <c r="B80" s="2" t="s">
        <v>9</v>
      </c>
      <c r="C80" s="2" t="s">
        <v>70</v>
      </c>
      <c r="D80" s="2" t="n">
        <v>1.24</v>
      </c>
      <c r="E80" s="2"/>
      <c r="F80" s="2" t="n">
        <v>0</v>
      </c>
      <c r="G80" s="2" t="n">
        <v>5</v>
      </c>
      <c r="H80" s="2" t="n">
        <v>57.4</v>
      </c>
    </row>
    <row r="81" customFormat="false" ht="15" hidden="false" customHeight="false" outlineLevel="0" collapsed="false">
      <c r="A81" s="2" t="s">
        <v>96</v>
      </c>
      <c r="B81" s="2" t="s">
        <v>9</v>
      </c>
      <c r="C81" s="2" t="s">
        <v>70</v>
      </c>
      <c r="D81" s="2" t="n">
        <v>2.19</v>
      </c>
      <c r="E81" s="2"/>
      <c r="F81" s="2" t="n">
        <v>0</v>
      </c>
      <c r="G81" s="2" t="n">
        <v>0</v>
      </c>
      <c r="H81" s="2" t="n">
        <v>48.1</v>
      </c>
    </row>
    <row r="82" customFormat="false" ht="15" hidden="false" customHeight="false" outlineLevel="0" collapsed="false">
      <c r="A82" s="2" t="s">
        <v>97</v>
      </c>
      <c r="B82" s="2" t="s">
        <v>9</v>
      </c>
      <c r="C82" s="2" t="s">
        <v>16</v>
      </c>
      <c r="D82" s="2" t="n">
        <v>4.17</v>
      </c>
      <c r="E82" s="2"/>
      <c r="F82" s="2" t="n">
        <v>0</v>
      </c>
      <c r="G82" s="2" t="n">
        <v>5</v>
      </c>
      <c r="H82" s="2" t="n">
        <v>48.1</v>
      </c>
    </row>
    <row r="83" customFormat="false" ht="15" hidden="false" customHeight="false" outlineLevel="0" collapsed="false">
      <c r="A83" s="2" t="s">
        <v>98</v>
      </c>
      <c r="B83" s="2" t="s">
        <v>9</v>
      </c>
      <c r="C83" s="2" t="s">
        <v>62</v>
      </c>
      <c r="D83" s="2" t="n">
        <v>8.06</v>
      </c>
      <c r="E83" s="2"/>
      <c r="F83" s="2" t="n">
        <v>0</v>
      </c>
      <c r="G83" s="2" t="n">
        <v>2</v>
      </c>
      <c r="H83" s="2" t="n">
        <v>48.1</v>
      </c>
    </row>
    <row r="84" customFormat="false" ht="15" hidden="false" customHeight="false" outlineLevel="0" collapsed="false">
      <c r="A84" s="2" t="s">
        <v>99</v>
      </c>
      <c r="B84" s="2" t="s">
        <v>9</v>
      </c>
      <c r="C84" s="2" t="s">
        <v>70</v>
      </c>
      <c r="D84" s="2" t="n">
        <v>1.79</v>
      </c>
      <c r="E84" s="2"/>
      <c r="F84" s="2" t="n">
        <v>0</v>
      </c>
      <c r="G84" s="2" t="n">
        <v>0</v>
      </c>
      <c r="H84" s="2" t="n">
        <v>48.1</v>
      </c>
    </row>
    <row r="85" customFormat="false" ht="15" hidden="false" customHeight="false" outlineLevel="0" collapsed="false">
      <c r="A85" s="2" t="s">
        <v>100</v>
      </c>
      <c r="B85" s="2" t="s">
        <v>9</v>
      </c>
      <c r="C85" s="2" t="s">
        <v>70</v>
      </c>
      <c r="D85" s="2" t="n">
        <v>1.63</v>
      </c>
      <c r="E85" s="2"/>
      <c r="F85" s="2" t="n">
        <v>0</v>
      </c>
      <c r="G85" s="2" t="n">
        <v>1</v>
      </c>
      <c r="H85" s="2" t="n">
        <v>48.1</v>
      </c>
    </row>
    <row r="86" customFormat="false" ht="15" hidden="false" customHeight="false" outlineLevel="0" collapsed="false">
      <c r="A86" s="2" t="s">
        <v>101</v>
      </c>
      <c r="B86" s="2" t="s">
        <v>9</v>
      </c>
      <c r="C86" s="2" t="s">
        <v>70</v>
      </c>
      <c r="D86" s="2" t="n">
        <v>1.92</v>
      </c>
      <c r="E86" s="2"/>
      <c r="F86" s="2" t="n">
        <v>0</v>
      </c>
      <c r="G86" s="2" t="n">
        <v>1</v>
      </c>
      <c r="H86" s="2" t="n">
        <v>45.7</v>
      </c>
    </row>
    <row r="87" customFormat="false" ht="15" hidden="false" customHeight="false" outlineLevel="0" collapsed="false">
      <c r="A87" s="2" t="s">
        <v>102</v>
      </c>
      <c r="B87" s="2" t="s">
        <v>9</v>
      </c>
      <c r="C87" s="2" t="s">
        <v>62</v>
      </c>
      <c r="D87" s="2" t="n">
        <v>6.1</v>
      </c>
      <c r="E87" s="2"/>
      <c r="F87" s="2" t="n">
        <v>0</v>
      </c>
      <c r="G87" s="2" t="n">
        <v>4</v>
      </c>
      <c r="H87" s="2" t="n">
        <v>48.1</v>
      </c>
    </row>
    <row r="88" customFormat="false" ht="15" hidden="false" customHeight="false" outlineLevel="0" collapsed="false">
      <c r="A88" s="2" t="s">
        <v>103</v>
      </c>
      <c r="B88" s="2" t="s">
        <v>9</v>
      </c>
      <c r="C88" s="2" t="s">
        <v>70</v>
      </c>
      <c r="D88" s="2" t="n">
        <v>2.87</v>
      </c>
      <c r="E88" s="2"/>
      <c r="F88" s="2" t="n">
        <v>0</v>
      </c>
      <c r="G88" s="2" t="n">
        <v>0</v>
      </c>
      <c r="H88" s="2" t="n">
        <v>60.1</v>
      </c>
    </row>
    <row r="89" customFormat="false" ht="15" hidden="false" customHeight="false" outlineLevel="0" collapsed="false">
      <c r="A89" s="2" t="s">
        <v>104</v>
      </c>
      <c r="B89" s="2" t="s">
        <v>9</v>
      </c>
      <c r="C89" s="2" t="s">
        <v>62</v>
      </c>
      <c r="D89" s="2" t="n">
        <v>10.54</v>
      </c>
      <c r="E89" s="2"/>
      <c r="F89" s="2" t="n">
        <v>0</v>
      </c>
      <c r="G89" s="2" t="n">
        <v>2</v>
      </c>
      <c r="H89" s="2" t="n">
        <v>46.6</v>
      </c>
    </row>
    <row r="90" customFormat="false" ht="15" hidden="false" customHeight="false" outlineLevel="0" collapsed="false">
      <c r="A90" s="2" t="s">
        <v>105</v>
      </c>
      <c r="B90" s="2" t="s">
        <v>9</v>
      </c>
      <c r="C90" s="2" t="s">
        <v>62</v>
      </c>
      <c r="D90" s="2" t="n">
        <v>15.55</v>
      </c>
      <c r="E90" s="2"/>
      <c r="F90" s="2" t="n">
        <v>0</v>
      </c>
      <c r="G90" s="2" t="n">
        <v>0</v>
      </c>
      <c r="H90" s="2" t="n">
        <v>48.1</v>
      </c>
    </row>
    <row r="91" customFormat="false" ht="15" hidden="false" customHeight="false" outlineLevel="0" collapsed="false">
      <c r="A91" s="2" t="s">
        <v>106</v>
      </c>
      <c r="B91" s="2" t="s">
        <v>9</v>
      </c>
      <c r="C91" s="2" t="s">
        <v>62</v>
      </c>
      <c r="D91" s="2" t="n">
        <v>14.81</v>
      </c>
      <c r="E91" s="2"/>
      <c r="F91" s="2" t="n">
        <v>0</v>
      </c>
      <c r="G91" s="2" t="n">
        <v>0</v>
      </c>
      <c r="H91" s="2" t="n">
        <v>48.1</v>
      </c>
    </row>
    <row r="92" customFormat="false" ht="15" hidden="false" customHeight="false" outlineLevel="0" collapsed="false">
      <c r="A92" s="2" t="s">
        <v>107</v>
      </c>
      <c r="B92" s="2" t="s">
        <v>9</v>
      </c>
      <c r="C92" s="2" t="s">
        <v>62</v>
      </c>
      <c r="D92" s="2" t="n">
        <v>9.49</v>
      </c>
      <c r="E92" s="2"/>
      <c r="F92" s="2" t="n">
        <v>0</v>
      </c>
      <c r="G92" s="2" t="n">
        <v>5</v>
      </c>
      <c r="H92" s="2" t="n">
        <v>57.4</v>
      </c>
    </row>
    <row r="93" customFormat="false" ht="15" hidden="false" customHeight="false" outlineLevel="0" collapsed="false">
      <c r="A93" s="2" t="s">
        <v>108</v>
      </c>
      <c r="B93" s="2" t="s">
        <v>9</v>
      </c>
      <c r="C93" s="2" t="s">
        <v>62</v>
      </c>
      <c r="D93" s="2" t="n">
        <v>7.01</v>
      </c>
      <c r="E93" s="2"/>
      <c r="F93" s="2" t="n">
        <v>0</v>
      </c>
      <c r="G93" s="2" t="n">
        <v>1</v>
      </c>
      <c r="H93" s="2" t="n">
        <v>45.7</v>
      </c>
    </row>
    <row r="94" customFormat="false" ht="15" hidden="false" customHeight="false" outlineLevel="0" collapsed="false">
      <c r="A94" s="2" t="s">
        <v>109</v>
      </c>
      <c r="B94" s="2" t="s">
        <v>9</v>
      </c>
      <c r="C94" s="2" t="s">
        <v>70</v>
      </c>
      <c r="D94" s="2" t="n">
        <v>2.11</v>
      </c>
      <c r="E94" s="2"/>
      <c r="F94" s="2" t="n">
        <v>0</v>
      </c>
      <c r="G94" s="2" t="n">
        <v>3</v>
      </c>
      <c r="H94" s="2" t="n">
        <v>48.1</v>
      </c>
    </row>
    <row r="95" customFormat="false" ht="15" hidden="false" customHeight="false" outlineLevel="0" collapsed="false">
      <c r="A95" s="2" t="s">
        <v>110</v>
      </c>
      <c r="B95" s="2" t="s">
        <v>9</v>
      </c>
      <c r="C95" s="2" t="s">
        <v>16</v>
      </c>
      <c r="D95" s="2" t="n">
        <v>4.44</v>
      </c>
      <c r="E95" s="2"/>
      <c r="F95" s="2" t="n">
        <v>0</v>
      </c>
      <c r="G95" s="2" t="n">
        <v>1</v>
      </c>
      <c r="H95" s="2" t="n">
        <v>48.1</v>
      </c>
    </row>
    <row r="96" customFormat="false" ht="15" hidden="false" customHeight="false" outlineLevel="0" collapsed="false">
      <c r="A96" s="2" t="s">
        <v>111</v>
      </c>
      <c r="B96" s="2" t="s">
        <v>9</v>
      </c>
      <c r="C96" s="2" t="s">
        <v>16</v>
      </c>
      <c r="D96" s="2" t="n">
        <v>3.53</v>
      </c>
      <c r="E96" s="2"/>
      <c r="F96" s="2" t="n">
        <v>0</v>
      </c>
      <c r="G96" s="2" t="n">
        <v>0</v>
      </c>
      <c r="H96" s="2" t="n">
        <v>57.4</v>
      </c>
    </row>
    <row r="97" customFormat="false" ht="15" hidden="false" customHeight="false" outlineLevel="0" collapsed="false">
      <c r="A97" s="2" t="s">
        <v>112</v>
      </c>
      <c r="B97" s="2" t="s">
        <v>9</v>
      </c>
      <c r="C97" s="2" t="s">
        <v>62</v>
      </c>
      <c r="D97" s="2" t="n">
        <v>17.69</v>
      </c>
      <c r="E97" s="2"/>
      <c r="F97" s="2" t="n">
        <v>0</v>
      </c>
      <c r="G97" s="2" t="n">
        <v>0</v>
      </c>
      <c r="H97" s="2" t="n">
        <v>48.1</v>
      </c>
    </row>
    <row r="98" customFormat="false" ht="15" hidden="false" customHeight="false" outlineLevel="0" collapsed="false">
      <c r="A98" s="2" t="s">
        <v>113</v>
      </c>
      <c r="B98" s="2" t="s">
        <v>9</v>
      </c>
      <c r="C98" s="2" t="s">
        <v>16</v>
      </c>
      <c r="D98" s="2" t="n">
        <v>3.55</v>
      </c>
      <c r="E98" s="2"/>
      <c r="F98" s="2" t="n">
        <v>0</v>
      </c>
      <c r="G98" s="2" t="n">
        <v>0</v>
      </c>
      <c r="H98" s="2" t="n">
        <v>46.6</v>
      </c>
    </row>
    <row r="99" customFormat="false" ht="15" hidden="false" customHeight="false" outlineLevel="0" collapsed="false">
      <c r="A99" s="2" t="s">
        <v>114</v>
      </c>
      <c r="B99" s="2" t="s">
        <v>9</v>
      </c>
      <c r="C99" s="2" t="s">
        <v>62</v>
      </c>
      <c r="D99" s="2" t="n">
        <v>14.56</v>
      </c>
      <c r="E99" s="2"/>
      <c r="F99" s="2" t="n">
        <v>0</v>
      </c>
      <c r="G99" s="2" t="n">
        <v>1</v>
      </c>
      <c r="H99" s="2" t="n">
        <v>48.1</v>
      </c>
    </row>
    <row r="100" customFormat="false" ht="15" hidden="false" customHeight="false" outlineLevel="0" collapsed="false">
      <c r="A100" s="2" t="s">
        <v>115</v>
      </c>
      <c r="B100" s="2" t="s">
        <v>9</v>
      </c>
      <c r="C100" s="2" t="s">
        <v>62</v>
      </c>
      <c r="D100" s="2" t="n">
        <v>13.28</v>
      </c>
      <c r="E100" s="2"/>
      <c r="F100" s="2" t="n">
        <v>0</v>
      </c>
      <c r="G100" s="2" t="n">
        <v>0</v>
      </c>
      <c r="H100" s="2" t="n">
        <v>48.1</v>
      </c>
    </row>
    <row r="101" customFormat="false" ht="15" hidden="false" customHeight="false" outlineLevel="0" collapsed="false">
      <c r="A101" s="2" t="s">
        <v>116</v>
      </c>
      <c r="B101" s="2" t="s">
        <v>9</v>
      </c>
      <c r="C101" s="2" t="s">
        <v>70</v>
      </c>
      <c r="D101" s="2" t="n">
        <v>1.15</v>
      </c>
      <c r="E101" s="2"/>
      <c r="F101" s="2" t="n">
        <v>0</v>
      </c>
      <c r="G101" s="2" t="n">
        <v>5</v>
      </c>
      <c r="H101" s="2" t="n">
        <v>48.1</v>
      </c>
    </row>
    <row r="102" customFormat="false" ht="15" hidden="false" customHeight="false" outlineLevel="0" collapsed="false">
      <c r="A102" s="2" t="s">
        <v>117</v>
      </c>
      <c r="B102" s="2" t="s">
        <v>9</v>
      </c>
      <c r="C102" s="2" t="s">
        <v>62</v>
      </c>
      <c r="D102" s="2" t="n">
        <v>13.18</v>
      </c>
      <c r="E102" s="2"/>
      <c r="F102" s="2" t="n">
        <v>0</v>
      </c>
      <c r="G102" s="2" t="n">
        <v>1</v>
      </c>
      <c r="H102" s="2" t="n">
        <v>48.1</v>
      </c>
    </row>
    <row r="103" customFormat="false" ht="15" hidden="false" customHeight="false" outlineLevel="0" collapsed="false">
      <c r="A103" s="2" t="s">
        <v>118</v>
      </c>
      <c r="B103" s="2" t="s">
        <v>9</v>
      </c>
      <c r="C103" s="2" t="s">
        <v>16</v>
      </c>
      <c r="D103" s="2" t="n">
        <v>3.3</v>
      </c>
      <c r="E103" s="2"/>
      <c r="F103" s="2" t="n">
        <v>0</v>
      </c>
      <c r="G103" s="2" t="n">
        <v>0</v>
      </c>
      <c r="H103" s="2" t="n">
        <v>48.1</v>
      </c>
    </row>
    <row r="104" customFormat="false" ht="15" hidden="false" customHeight="false" outlineLevel="0" collapsed="false">
      <c r="A104" s="2" t="s">
        <v>119</v>
      </c>
      <c r="B104" s="2" t="s">
        <v>9</v>
      </c>
      <c r="C104" s="2" t="s">
        <v>16</v>
      </c>
      <c r="D104" s="2" t="n">
        <v>4.8</v>
      </c>
      <c r="E104" s="2"/>
      <c r="F104" s="2" t="n">
        <v>0</v>
      </c>
      <c r="G104" s="2" t="n">
        <v>4</v>
      </c>
      <c r="H104" s="2" t="n">
        <v>48.1</v>
      </c>
    </row>
    <row r="105" customFormat="false" ht="15" hidden="false" customHeight="false" outlineLevel="0" collapsed="false">
      <c r="A105" s="2" t="s">
        <v>120</v>
      </c>
      <c r="B105" s="2" t="s">
        <v>9</v>
      </c>
      <c r="C105" s="2" t="s">
        <v>62</v>
      </c>
      <c r="D105" s="2" t="n">
        <v>18.48</v>
      </c>
      <c r="E105" s="2"/>
      <c r="F105" s="2" t="n">
        <v>0</v>
      </c>
      <c r="G105" s="2" t="n">
        <v>2</v>
      </c>
      <c r="H105" s="2" t="n">
        <v>48.1</v>
      </c>
    </row>
    <row r="106" customFormat="false" ht="15" hidden="false" customHeight="false" outlineLevel="0" collapsed="false">
      <c r="A106" s="2" t="s">
        <v>121</v>
      </c>
      <c r="B106" s="2" t="s">
        <v>9</v>
      </c>
      <c r="C106" s="2" t="s">
        <v>70</v>
      </c>
      <c r="D106" s="2" t="n">
        <v>1.21</v>
      </c>
      <c r="E106" s="2"/>
      <c r="F106" s="2" t="n">
        <v>0</v>
      </c>
      <c r="G106" s="2" t="n">
        <v>0</v>
      </c>
      <c r="H106" s="2" t="n">
        <v>55</v>
      </c>
    </row>
    <row r="107" customFormat="false" ht="15" hidden="false" customHeight="false" outlineLevel="0" collapsed="false">
      <c r="A107" s="2" t="s">
        <v>122</v>
      </c>
      <c r="B107" s="2" t="s">
        <v>123</v>
      </c>
      <c r="C107" s="2" t="s">
        <v>10</v>
      </c>
      <c r="D107" s="2" t="n">
        <v>28.65</v>
      </c>
      <c r="E107" s="2" t="n">
        <v>0.866666666666667</v>
      </c>
      <c r="F107" s="2" t="n">
        <v>3999.8</v>
      </c>
      <c r="G107" s="2" t="n">
        <v>2</v>
      </c>
      <c r="H107" s="2" t="n">
        <v>53.4</v>
      </c>
    </row>
    <row r="108" customFormat="false" ht="15" hidden="false" customHeight="false" outlineLevel="0" collapsed="false">
      <c r="A108" s="2" t="s">
        <v>124</v>
      </c>
      <c r="B108" s="2" t="s">
        <v>123</v>
      </c>
      <c r="C108" s="2" t="s">
        <v>14</v>
      </c>
      <c r="D108" s="2" t="n">
        <v>10.26</v>
      </c>
      <c r="E108" s="2"/>
      <c r="F108" s="2" t="n">
        <v>1055.9</v>
      </c>
      <c r="G108" s="2" t="n">
        <v>2</v>
      </c>
      <c r="H108" s="2" t="n">
        <v>42.9</v>
      </c>
    </row>
    <row r="109" customFormat="false" ht="15" hidden="false" customHeight="false" outlineLevel="0" collapsed="false">
      <c r="A109" s="2" t="s">
        <v>125</v>
      </c>
      <c r="B109" s="2" t="s">
        <v>123</v>
      </c>
      <c r="C109" s="2" t="s">
        <v>12</v>
      </c>
      <c r="D109" s="2" t="n">
        <v>13.82</v>
      </c>
      <c r="E109" s="2" t="n">
        <v>0.866666666666667</v>
      </c>
      <c r="F109" s="2" t="n">
        <v>334.2</v>
      </c>
      <c r="G109" s="2" t="n">
        <v>0</v>
      </c>
      <c r="H109" s="2" t="n">
        <v>61.4</v>
      </c>
    </row>
    <row r="110" customFormat="false" ht="15" hidden="false" customHeight="false" outlineLevel="0" collapsed="false">
      <c r="A110" s="2" t="s">
        <v>126</v>
      </c>
      <c r="B110" s="2" t="s">
        <v>123</v>
      </c>
      <c r="C110" s="2" t="s">
        <v>62</v>
      </c>
      <c r="D110" s="2" t="n">
        <v>11.28</v>
      </c>
      <c r="E110" s="2"/>
      <c r="F110" s="2" t="n">
        <v>0</v>
      </c>
      <c r="G110" s="2" t="n">
        <v>1</v>
      </c>
      <c r="H110" s="2" t="n">
        <v>48.1</v>
      </c>
    </row>
    <row r="111" customFormat="false" ht="15" hidden="false" customHeight="false" outlineLevel="0" collapsed="false">
      <c r="A111" s="2" t="s">
        <v>127</v>
      </c>
      <c r="B111" s="2" t="s">
        <v>123</v>
      </c>
      <c r="C111" s="2" t="s">
        <v>12</v>
      </c>
      <c r="D111" s="2" t="n">
        <v>12.74</v>
      </c>
      <c r="E111" s="2"/>
      <c r="F111" s="2" t="n">
        <v>0</v>
      </c>
      <c r="G111" s="2" t="n">
        <v>0</v>
      </c>
      <c r="H111" s="2" t="n">
        <v>46.4</v>
      </c>
    </row>
    <row r="112" customFormat="false" ht="15" hidden="false" customHeight="false" outlineLevel="0" collapsed="false">
      <c r="A112" s="2" t="s">
        <v>128</v>
      </c>
      <c r="B112" s="2" t="s">
        <v>123</v>
      </c>
      <c r="C112" s="2" t="s">
        <v>19</v>
      </c>
      <c r="D112" s="2" t="n">
        <v>4.69</v>
      </c>
      <c r="E112" s="2" t="n">
        <v>0.583333333333333</v>
      </c>
      <c r="F112" s="2" t="n">
        <v>938.8</v>
      </c>
      <c r="G112" s="2" t="n">
        <v>5</v>
      </c>
      <c r="H112" s="2" t="n">
        <v>62.4</v>
      </c>
    </row>
    <row r="113" customFormat="false" ht="15" hidden="false" customHeight="false" outlineLevel="0" collapsed="false">
      <c r="A113" s="2" t="s">
        <v>129</v>
      </c>
      <c r="B113" s="2" t="s">
        <v>123</v>
      </c>
      <c r="C113" s="2" t="s">
        <v>14</v>
      </c>
      <c r="D113" s="2" t="n">
        <v>7.55</v>
      </c>
      <c r="E113" s="2" t="n">
        <v>1</v>
      </c>
      <c r="F113" s="2" t="n">
        <v>277.7</v>
      </c>
      <c r="G113" s="2" t="n">
        <v>2</v>
      </c>
      <c r="H113" s="2" t="n">
        <v>19.5</v>
      </c>
    </row>
    <row r="114" customFormat="false" ht="15" hidden="false" customHeight="false" outlineLevel="0" collapsed="false">
      <c r="A114" s="2" t="s">
        <v>130</v>
      </c>
      <c r="B114" s="2" t="s">
        <v>123</v>
      </c>
      <c r="C114" s="2" t="s">
        <v>14</v>
      </c>
      <c r="D114" s="2" t="n">
        <v>9.05</v>
      </c>
      <c r="E114" s="2" t="n">
        <v>0.75</v>
      </c>
      <c r="F114" s="2" t="n">
        <v>146.8</v>
      </c>
      <c r="G114" s="2" t="n">
        <v>2</v>
      </c>
      <c r="H114" s="2" t="n">
        <v>69.3</v>
      </c>
    </row>
    <row r="115" customFormat="false" ht="15" hidden="false" customHeight="false" outlineLevel="0" collapsed="false">
      <c r="A115" s="2" t="s">
        <v>131</v>
      </c>
      <c r="B115" s="2" t="s">
        <v>123</v>
      </c>
      <c r="C115" s="2" t="s">
        <v>19</v>
      </c>
      <c r="D115" s="2" t="n">
        <v>4.63</v>
      </c>
      <c r="E115" s="2" t="n">
        <v>1</v>
      </c>
      <c r="F115" s="2" t="n">
        <v>650.5</v>
      </c>
      <c r="G115" s="2" t="n">
        <v>1</v>
      </c>
      <c r="H115" s="2" t="n">
        <v>36.8</v>
      </c>
    </row>
    <row r="116" customFormat="false" ht="15" hidden="false" customHeight="false" outlineLevel="0" collapsed="false">
      <c r="A116" s="2" t="s">
        <v>132</v>
      </c>
      <c r="B116" s="2" t="s">
        <v>123</v>
      </c>
      <c r="C116" s="2" t="s">
        <v>19</v>
      </c>
      <c r="D116" s="2" t="n">
        <v>4.43</v>
      </c>
      <c r="E116" s="2" t="n">
        <v>0.846153846153846</v>
      </c>
      <c r="F116" s="2" t="n">
        <v>2165.1</v>
      </c>
      <c r="G116" s="2" t="n">
        <v>6</v>
      </c>
      <c r="H116" s="2" t="n">
        <v>34.9</v>
      </c>
    </row>
    <row r="117" customFormat="false" ht="15" hidden="false" customHeight="false" outlineLevel="0" collapsed="false">
      <c r="A117" s="2" t="s">
        <v>133</v>
      </c>
      <c r="B117" s="2" t="s">
        <v>123</v>
      </c>
      <c r="C117" s="2" t="s">
        <v>14</v>
      </c>
      <c r="D117" s="2" t="n">
        <v>9.75</v>
      </c>
      <c r="E117" s="2" t="n">
        <v>0.888888888888889</v>
      </c>
      <c r="F117" s="2" t="n">
        <v>221.4</v>
      </c>
      <c r="G117" s="2" t="n">
        <v>1</v>
      </c>
      <c r="H117" s="2" t="n">
        <v>64.8</v>
      </c>
    </row>
    <row r="118" customFormat="false" ht="15" hidden="false" customHeight="false" outlineLevel="0" collapsed="false">
      <c r="A118" s="2" t="s">
        <v>134</v>
      </c>
      <c r="B118" s="2" t="s">
        <v>123</v>
      </c>
      <c r="C118" s="2" t="s">
        <v>24</v>
      </c>
      <c r="D118" s="2" t="n">
        <v>2.42</v>
      </c>
      <c r="E118" s="2" t="n">
        <v>0.714285714285714</v>
      </c>
      <c r="F118" s="2" t="n">
        <v>810</v>
      </c>
      <c r="G118" s="2" t="n">
        <v>4</v>
      </c>
      <c r="H118" s="2" t="n">
        <v>36.5</v>
      </c>
    </row>
    <row r="119" customFormat="false" ht="15" hidden="false" customHeight="false" outlineLevel="0" collapsed="false">
      <c r="A119" s="2" t="s">
        <v>135</v>
      </c>
      <c r="B119" s="2" t="s">
        <v>123</v>
      </c>
      <c r="C119" s="2" t="s">
        <v>24</v>
      </c>
      <c r="D119" s="2" t="n">
        <v>2.08</v>
      </c>
      <c r="E119" s="2"/>
      <c r="F119" s="2" t="n">
        <v>554.4</v>
      </c>
      <c r="G119" s="2" t="n">
        <v>4</v>
      </c>
      <c r="H119" s="2" t="n">
        <v>37.1</v>
      </c>
    </row>
    <row r="120" customFormat="false" ht="15" hidden="false" customHeight="false" outlineLevel="0" collapsed="false">
      <c r="A120" s="2" t="s">
        <v>136</v>
      </c>
      <c r="B120" s="2" t="s">
        <v>123</v>
      </c>
      <c r="C120" s="2" t="s">
        <v>14</v>
      </c>
      <c r="D120" s="2" t="n">
        <v>10.04</v>
      </c>
      <c r="E120" s="2" t="n">
        <v>0.8</v>
      </c>
      <c r="F120" s="2" t="n">
        <v>1220.9</v>
      </c>
      <c r="G120" s="2" t="n">
        <v>3</v>
      </c>
      <c r="H120" s="2" t="n">
        <v>48.1</v>
      </c>
    </row>
    <row r="121" customFormat="false" ht="15" hidden="false" customHeight="false" outlineLevel="0" collapsed="false">
      <c r="A121" s="2" t="s">
        <v>137</v>
      </c>
      <c r="B121" s="2" t="s">
        <v>123</v>
      </c>
      <c r="C121" s="2" t="s">
        <v>19</v>
      </c>
      <c r="D121" s="2" t="n">
        <v>5.89</v>
      </c>
      <c r="E121" s="2" t="n">
        <v>1</v>
      </c>
      <c r="F121" s="2" t="n">
        <v>871.8</v>
      </c>
      <c r="G121" s="2" t="n">
        <v>3</v>
      </c>
      <c r="H121" s="2" t="n">
        <v>41.9</v>
      </c>
    </row>
    <row r="122" customFormat="false" ht="15" hidden="false" customHeight="false" outlineLevel="0" collapsed="false">
      <c r="A122" s="2" t="s">
        <v>138</v>
      </c>
      <c r="B122" s="2" t="s">
        <v>123</v>
      </c>
      <c r="C122" s="2" t="s">
        <v>14</v>
      </c>
      <c r="D122" s="2" t="n">
        <v>10.58</v>
      </c>
      <c r="E122" s="2" t="n">
        <v>0.588235294117647</v>
      </c>
      <c r="F122" s="2" t="n">
        <v>991.9</v>
      </c>
      <c r="G122" s="2" t="n">
        <v>1</v>
      </c>
      <c r="H122" s="2" t="n">
        <v>68</v>
      </c>
    </row>
    <row r="123" customFormat="false" ht="15" hidden="false" customHeight="false" outlineLevel="0" collapsed="false">
      <c r="A123" s="2" t="s">
        <v>139</v>
      </c>
      <c r="B123" s="2" t="s">
        <v>123</v>
      </c>
      <c r="C123" s="2" t="s">
        <v>14</v>
      </c>
      <c r="D123" s="2" t="n">
        <v>8.69</v>
      </c>
      <c r="E123" s="2" t="n">
        <v>0.714285714285714</v>
      </c>
      <c r="F123" s="2" t="n">
        <v>1802.3</v>
      </c>
      <c r="G123" s="2" t="n">
        <v>0</v>
      </c>
      <c r="H123" s="2" t="n">
        <v>62.8</v>
      </c>
    </row>
    <row r="124" customFormat="false" ht="15" hidden="false" customHeight="false" outlineLevel="0" collapsed="false">
      <c r="A124" s="2" t="s">
        <v>140</v>
      </c>
      <c r="B124" s="2" t="s">
        <v>123</v>
      </c>
      <c r="C124" s="2" t="s">
        <v>24</v>
      </c>
      <c r="D124" s="2" t="n">
        <v>1.76</v>
      </c>
      <c r="E124" s="2" t="n">
        <v>1</v>
      </c>
      <c r="F124" s="2" t="n">
        <v>538.6</v>
      </c>
      <c r="G124" s="2" t="n">
        <v>4</v>
      </c>
      <c r="H124" s="2" t="n">
        <v>16.7</v>
      </c>
    </row>
    <row r="125" customFormat="false" ht="15" hidden="false" customHeight="false" outlineLevel="0" collapsed="false">
      <c r="A125" s="2" t="s">
        <v>141</v>
      </c>
      <c r="B125" s="2" t="s">
        <v>123</v>
      </c>
      <c r="C125" s="2" t="s">
        <v>24</v>
      </c>
      <c r="D125" s="2" t="n">
        <v>1.53</v>
      </c>
      <c r="E125" s="2" t="n">
        <v>0.666666666666667</v>
      </c>
      <c r="F125" s="2" t="n">
        <v>297.2</v>
      </c>
      <c r="G125" s="2" t="n">
        <v>1</v>
      </c>
      <c r="H125" s="2" t="n">
        <v>54.1</v>
      </c>
    </row>
    <row r="126" customFormat="false" ht="15" hidden="false" customHeight="false" outlineLevel="0" collapsed="false">
      <c r="A126" s="2" t="s">
        <v>142</v>
      </c>
      <c r="B126" s="2" t="s">
        <v>123</v>
      </c>
      <c r="C126" s="2" t="s">
        <v>12</v>
      </c>
      <c r="D126" s="2" t="n">
        <v>14.05</v>
      </c>
      <c r="E126" s="2"/>
      <c r="F126" s="2" t="n">
        <v>0</v>
      </c>
      <c r="G126" s="2" t="n">
        <v>0</v>
      </c>
      <c r="H126" s="2" t="n">
        <v>57.4</v>
      </c>
    </row>
    <row r="127" customFormat="false" ht="15" hidden="false" customHeight="false" outlineLevel="0" collapsed="false">
      <c r="A127" s="2" t="s">
        <v>143</v>
      </c>
      <c r="B127" s="2" t="s">
        <v>123</v>
      </c>
      <c r="C127" s="2" t="s">
        <v>24</v>
      </c>
      <c r="D127" s="2" t="n">
        <v>2.57</v>
      </c>
      <c r="E127" s="2"/>
      <c r="F127" s="2" t="n">
        <v>0</v>
      </c>
      <c r="G127" s="2" t="n">
        <v>1</v>
      </c>
      <c r="H127" s="2" t="n">
        <v>44.9</v>
      </c>
    </row>
    <row r="128" customFormat="false" ht="15" hidden="false" customHeight="false" outlineLevel="0" collapsed="false">
      <c r="A128" s="2" t="s">
        <v>144</v>
      </c>
      <c r="B128" s="2" t="s">
        <v>123</v>
      </c>
      <c r="C128" s="2" t="s">
        <v>19</v>
      </c>
      <c r="D128" s="2" t="n">
        <v>4.72</v>
      </c>
      <c r="E128" s="2"/>
      <c r="F128" s="2" t="n">
        <v>0</v>
      </c>
      <c r="G128" s="2" t="n">
        <v>1</v>
      </c>
      <c r="H128" s="2" t="n">
        <v>46.6</v>
      </c>
    </row>
    <row r="129" customFormat="false" ht="15" hidden="false" customHeight="false" outlineLevel="0" collapsed="false">
      <c r="A129" s="2" t="s">
        <v>145</v>
      </c>
      <c r="B129" s="2" t="s">
        <v>123</v>
      </c>
      <c r="C129" s="2" t="s">
        <v>19</v>
      </c>
      <c r="D129" s="2" t="n">
        <v>5.35</v>
      </c>
      <c r="E129" s="2"/>
      <c r="F129" s="2" t="n">
        <v>0</v>
      </c>
      <c r="G129" s="2" t="n">
        <v>0</v>
      </c>
      <c r="H129" s="2" t="n">
        <v>44.9</v>
      </c>
    </row>
    <row r="130" customFormat="false" ht="15" hidden="false" customHeight="false" outlineLevel="0" collapsed="false">
      <c r="A130" s="2" t="s">
        <v>146</v>
      </c>
      <c r="B130" s="2" t="s">
        <v>123</v>
      </c>
      <c r="C130" s="2" t="s">
        <v>24</v>
      </c>
      <c r="D130" s="2" t="n">
        <v>2.29</v>
      </c>
      <c r="E130" s="2"/>
      <c r="F130" s="2" t="n">
        <v>0</v>
      </c>
      <c r="G130" s="2" t="n">
        <v>1</v>
      </c>
      <c r="H130" s="2" t="n">
        <v>45.3</v>
      </c>
    </row>
    <row r="131" customFormat="false" ht="15" hidden="false" customHeight="false" outlineLevel="0" collapsed="false">
      <c r="A131" s="2" t="s">
        <v>147</v>
      </c>
      <c r="B131" s="2" t="s">
        <v>123</v>
      </c>
      <c r="C131" s="2" t="s">
        <v>19</v>
      </c>
      <c r="D131" s="2" t="n">
        <v>5.59</v>
      </c>
      <c r="E131" s="2"/>
      <c r="F131" s="2" t="n">
        <v>0</v>
      </c>
      <c r="G131" s="2" t="n">
        <v>2</v>
      </c>
      <c r="H131" s="2" t="n">
        <v>46.6</v>
      </c>
    </row>
    <row r="132" customFormat="false" ht="15" hidden="false" customHeight="false" outlineLevel="0" collapsed="false">
      <c r="A132" s="2" t="s">
        <v>148</v>
      </c>
      <c r="B132" s="2" t="s">
        <v>123</v>
      </c>
      <c r="C132" s="2" t="s">
        <v>14</v>
      </c>
      <c r="D132" s="2" t="n">
        <v>7.19</v>
      </c>
      <c r="E132" s="2" t="n">
        <v>1</v>
      </c>
      <c r="F132" s="2" t="n">
        <v>1697.7</v>
      </c>
      <c r="G132" s="2" t="n">
        <v>3</v>
      </c>
      <c r="H132" s="2" t="n">
        <v>48.7</v>
      </c>
    </row>
    <row r="133" customFormat="false" ht="15" hidden="false" customHeight="false" outlineLevel="0" collapsed="false">
      <c r="A133" s="2" t="s">
        <v>149</v>
      </c>
      <c r="B133" s="2" t="s">
        <v>123</v>
      </c>
      <c r="C133" s="2" t="s">
        <v>19</v>
      </c>
      <c r="D133" s="2" t="n">
        <v>5.58</v>
      </c>
      <c r="E133" s="2" t="n">
        <v>0.909090909090909</v>
      </c>
      <c r="F133" s="2" t="n">
        <v>955.8</v>
      </c>
      <c r="G133" s="2" t="n">
        <v>1</v>
      </c>
      <c r="H133" s="2" t="n">
        <v>50</v>
      </c>
    </row>
    <row r="134" customFormat="false" ht="15" hidden="false" customHeight="false" outlineLevel="0" collapsed="false">
      <c r="A134" s="2" t="s">
        <v>150</v>
      </c>
      <c r="B134" s="2" t="s">
        <v>123</v>
      </c>
      <c r="C134" s="2" t="s">
        <v>12</v>
      </c>
      <c r="D134" s="2" t="n">
        <v>12.16</v>
      </c>
      <c r="E134" s="2" t="n">
        <v>0.95</v>
      </c>
      <c r="F134" s="2" t="n">
        <v>2333.6</v>
      </c>
      <c r="G134" s="2" t="n">
        <v>1</v>
      </c>
      <c r="H134" s="2" t="n">
        <v>50.8</v>
      </c>
    </row>
    <row r="135" customFormat="false" ht="15" hidden="false" customHeight="false" outlineLevel="0" collapsed="false">
      <c r="A135" s="2" t="s">
        <v>151</v>
      </c>
      <c r="B135" s="2" t="s">
        <v>123</v>
      </c>
      <c r="C135" s="2" t="s">
        <v>24</v>
      </c>
      <c r="D135" s="2" t="n">
        <v>2.74</v>
      </c>
      <c r="E135" s="2" t="n">
        <v>1</v>
      </c>
      <c r="F135" s="2" t="n">
        <v>532.2</v>
      </c>
      <c r="G135" s="2" t="n">
        <v>0</v>
      </c>
      <c r="H135" s="2" t="n">
        <v>29</v>
      </c>
    </row>
    <row r="136" customFormat="false" ht="15" hidden="false" customHeight="false" outlineLevel="0" collapsed="false">
      <c r="A136" s="2" t="s">
        <v>152</v>
      </c>
      <c r="B136" s="2" t="s">
        <v>123</v>
      </c>
      <c r="C136" s="2" t="s">
        <v>19</v>
      </c>
      <c r="D136" s="2" t="n">
        <v>4.45</v>
      </c>
      <c r="E136" s="2" t="n">
        <v>0.7</v>
      </c>
      <c r="F136" s="2" t="n">
        <v>149</v>
      </c>
      <c r="G136" s="2" t="n">
        <v>1</v>
      </c>
      <c r="H136" s="2" t="n">
        <v>87.5</v>
      </c>
    </row>
    <row r="137" customFormat="false" ht="15" hidden="false" customHeight="false" outlineLevel="0" collapsed="false">
      <c r="A137" s="2" t="s">
        <v>153</v>
      </c>
      <c r="B137" s="2" t="s">
        <v>123</v>
      </c>
      <c r="C137" s="2" t="s">
        <v>14</v>
      </c>
      <c r="D137" s="2" t="n">
        <v>8.47</v>
      </c>
      <c r="E137" s="2" t="n">
        <v>0.764705882352941</v>
      </c>
      <c r="F137" s="2" t="n">
        <v>1854.5</v>
      </c>
      <c r="G137" s="2" t="n">
        <v>1</v>
      </c>
      <c r="H137" s="2" t="n">
        <v>85</v>
      </c>
    </row>
    <row r="138" customFormat="false" ht="15" hidden="false" customHeight="false" outlineLevel="0" collapsed="false">
      <c r="A138" s="2" t="s">
        <v>154</v>
      </c>
      <c r="B138" s="2" t="s">
        <v>123</v>
      </c>
      <c r="C138" s="2" t="s">
        <v>14</v>
      </c>
      <c r="D138" s="2" t="n">
        <v>7.79</v>
      </c>
      <c r="E138" s="2" t="n">
        <v>0.714285714285714</v>
      </c>
      <c r="F138" s="2" t="n">
        <v>247.1</v>
      </c>
      <c r="G138" s="2" t="n">
        <v>4</v>
      </c>
      <c r="H138" s="2" t="n">
        <v>45.5</v>
      </c>
    </row>
    <row r="139" customFormat="false" ht="15" hidden="false" customHeight="false" outlineLevel="0" collapsed="false">
      <c r="A139" s="2" t="s">
        <v>155</v>
      </c>
      <c r="B139" s="2" t="s">
        <v>123</v>
      </c>
      <c r="C139" s="2" t="s">
        <v>24</v>
      </c>
      <c r="D139" s="2" t="n">
        <v>1.9</v>
      </c>
      <c r="E139" s="2" t="n">
        <v>1</v>
      </c>
      <c r="F139" s="2" t="n">
        <v>337.6</v>
      </c>
      <c r="G139" s="2" t="n">
        <v>3</v>
      </c>
      <c r="H139" s="2" t="n">
        <v>34.4</v>
      </c>
    </row>
    <row r="140" customFormat="false" ht="15" hidden="false" customHeight="false" outlineLevel="0" collapsed="false">
      <c r="A140" s="2" t="s">
        <v>156</v>
      </c>
      <c r="B140" s="2" t="s">
        <v>123</v>
      </c>
      <c r="C140" s="2" t="s">
        <v>24</v>
      </c>
      <c r="D140" s="2" t="n">
        <v>2.92</v>
      </c>
      <c r="E140" s="2" t="n">
        <v>0.888888888888889</v>
      </c>
      <c r="F140" s="2" t="n">
        <v>725.8</v>
      </c>
      <c r="G140" s="2" t="n">
        <v>0</v>
      </c>
      <c r="H140" s="2" t="n">
        <v>47.9</v>
      </c>
    </row>
    <row r="141" customFormat="false" ht="15" hidden="false" customHeight="false" outlineLevel="0" collapsed="false">
      <c r="A141" s="2" t="s">
        <v>157</v>
      </c>
      <c r="B141" s="2" t="s">
        <v>123</v>
      </c>
      <c r="C141" s="2" t="s">
        <v>24</v>
      </c>
      <c r="D141" s="2" t="n">
        <v>1.08</v>
      </c>
      <c r="E141" s="2" t="n">
        <v>0.666666666666667</v>
      </c>
      <c r="F141" s="2" t="n">
        <v>304.3</v>
      </c>
      <c r="G141" s="2" t="n">
        <v>0</v>
      </c>
      <c r="H141" s="2" t="n">
        <v>48.8</v>
      </c>
    </row>
    <row r="142" customFormat="false" ht="15" hidden="false" customHeight="false" outlineLevel="0" collapsed="false">
      <c r="A142" s="2" t="s">
        <v>158</v>
      </c>
      <c r="B142" s="2" t="s">
        <v>123</v>
      </c>
      <c r="C142" s="2" t="s">
        <v>24</v>
      </c>
      <c r="D142" s="2" t="n">
        <v>1.32</v>
      </c>
      <c r="E142" s="2" t="n">
        <v>0.5</v>
      </c>
      <c r="F142" s="2" t="n">
        <v>129.2</v>
      </c>
      <c r="G142" s="2" t="n">
        <v>5</v>
      </c>
      <c r="H142" s="2" t="n">
        <v>71.2</v>
      </c>
    </row>
    <row r="143" customFormat="false" ht="15" hidden="false" customHeight="false" outlineLevel="0" collapsed="false">
      <c r="A143" s="2" t="s">
        <v>159</v>
      </c>
      <c r="B143" s="2" t="s">
        <v>123</v>
      </c>
      <c r="C143" s="2" t="s">
        <v>24</v>
      </c>
      <c r="D143" s="2" t="n">
        <v>1.93</v>
      </c>
      <c r="E143" s="2" t="n">
        <v>1</v>
      </c>
      <c r="F143" s="2" t="n">
        <v>475.6</v>
      </c>
      <c r="G143" s="2" t="n">
        <v>1</v>
      </c>
      <c r="H143" s="2" t="n">
        <v>30.9</v>
      </c>
    </row>
    <row r="144" customFormat="false" ht="15" hidden="false" customHeight="false" outlineLevel="0" collapsed="false">
      <c r="A144" s="2" t="s">
        <v>160</v>
      </c>
      <c r="B144" s="2" t="s">
        <v>123</v>
      </c>
      <c r="C144" s="2" t="s">
        <v>24</v>
      </c>
      <c r="D144" s="2" t="n">
        <v>2.86</v>
      </c>
      <c r="E144" s="2" t="n">
        <v>0.888888888888889</v>
      </c>
      <c r="F144" s="2" t="n">
        <v>692.5</v>
      </c>
      <c r="G144" s="2" t="n">
        <v>0</v>
      </c>
      <c r="H144" s="2" t="n">
        <v>36.1</v>
      </c>
    </row>
    <row r="145" customFormat="false" ht="15" hidden="false" customHeight="false" outlineLevel="0" collapsed="false">
      <c r="A145" s="2" t="s">
        <v>161</v>
      </c>
      <c r="B145" s="2" t="s">
        <v>123</v>
      </c>
      <c r="C145" s="2" t="s">
        <v>14</v>
      </c>
      <c r="D145" s="2" t="n">
        <v>9.5</v>
      </c>
      <c r="E145" s="2" t="n">
        <v>1</v>
      </c>
      <c r="F145" s="2" t="n">
        <v>1492.7</v>
      </c>
      <c r="G145" s="2" t="n">
        <v>3</v>
      </c>
      <c r="H145" s="2" t="n">
        <v>32.4</v>
      </c>
    </row>
    <row r="146" customFormat="false" ht="15" hidden="false" customHeight="false" outlineLevel="0" collapsed="false">
      <c r="A146" s="2" t="s">
        <v>162</v>
      </c>
      <c r="B146" s="2" t="s">
        <v>123</v>
      </c>
      <c r="C146" s="2" t="s">
        <v>24</v>
      </c>
      <c r="D146" s="2" t="n">
        <v>2.58</v>
      </c>
      <c r="E146" s="2" t="n">
        <v>1</v>
      </c>
      <c r="F146" s="2" t="n">
        <v>620.4</v>
      </c>
      <c r="G146" s="2" t="n">
        <v>1</v>
      </c>
      <c r="H146" s="2" t="n">
        <v>23.3</v>
      </c>
    </row>
    <row r="147" customFormat="false" ht="15" hidden="false" customHeight="false" outlineLevel="0" collapsed="false">
      <c r="A147" s="2" t="s">
        <v>163</v>
      </c>
      <c r="B147" s="2" t="s">
        <v>123</v>
      </c>
      <c r="C147" s="2" t="s">
        <v>24</v>
      </c>
      <c r="D147" s="2" t="n">
        <v>2.42</v>
      </c>
      <c r="E147" s="2" t="n">
        <v>1</v>
      </c>
      <c r="F147" s="2" t="n">
        <v>466.3</v>
      </c>
      <c r="G147" s="2" t="n">
        <v>2</v>
      </c>
      <c r="H147" s="2" t="n">
        <v>27.7</v>
      </c>
    </row>
    <row r="148" customFormat="false" ht="15" hidden="false" customHeight="false" outlineLevel="0" collapsed="false">
      <c r="A148" s="2" t="s">
        <v>164</v>
      </c>
      <c r="B148" s="2" t="s">
        <v>123</v>
      </c>
      <c r="C148" s="2" t="s">
        <v>12</v>
      </c>
      <c r="D148" s="2" t="n">
        <v>13.56</v>
      </c>
      <c r="E148" s="2" t="n">
        <v>0.857142857142857</v>
      </c>
      <c r="F148" s="2" t="n">
        <v>2009.3</v>
      </c>
      <c r="G148" s="2" t="n">
        <v>0</v>
      </c>
      <c r="H148" s="2" t="n">
        <v>49.1</v>
      </c>
    </row>
    <row r="149" customFormat="false" ht="15" hidden="false" customHeight="false" outlineLevel="0" collapsed="false">
      <c r="A149" s="2" t="s">
        <v>165</v>
      </c>
      <c r="B149" s="2" t="s">
        <v>123</v>
      </c>
      <c r="C149" s="2" t="s">
        <v>24</v>
      </c>
      <c r="D149" s="2" t="n">
        <v>2.09</v>
      </c>
      <c r="E149" s="2"/>
      <c r="F149" s="2" t="n">
        <v>271.8</v>
      </c>
      <c r="G149" s="2" t="n">
        <v>5</v>
      </c>
      <c r="H149" s="2" t="n">
        <v>47.4</v>
      </c>
    </row>
    <row r="150" customFormat="false" ht="15" hidden="false" customHeight="false" outlineLevel="0" collapsed="false">
      <c r="A150" s="2" t="s">
        <v>166</v>
      </c>
      <c r="B150" s="2" t="s">
        <v>123</v>
      </c>
      <c r="C150" s="2" t="s">
        <v>24</v>
      </c>
      <c r="D150" s="2" t="n">
        <v>2.77</v>
      </c>
      <c r="E150" s="2"/>
      <c r="F150" s="2" t="n">
        <v>678.5</v>
      </c>
      <c r="G150" s="2" t="n">
        <v>2</v>
      </c>
      <c r="H150" s="2" t="n">
        <v>55.4</v>
      </c>
    </row>
    <row r="151" customFormat="false" ht="15" hidden="false" customHeight="false" outlineLevel="0" collapsed="false">
      <c r="A151" s="2" t="s">
        <v>167</v>
      </c>
      <c r="B151" s="2" t="s">
        <v>123</v>
      </c>
      <c r="C151" s="2" t="s">
        <v>24</v>
      </c>
      <c r="D151" s="2" t="n">
        <v>1.59</v>
      </c>
      <c r="E151" s="2" t="n">
        <v>0.833333333333333</v>
      </c>
      <c r="F151" s="2" t="n">
        <v>235.3</v>
      </c>
      <c r="G151" s="2" t="n">
        <v>2</v>
      </c>
      <c r="H151" s="2" t="n">
        <v>44.5</v>
      </c>
    </row>
    <row r="152" customFormat="false" ht="15" hidden="false" customHeight="false" outlineLevel="0" collapsed="false">
      <c r="A152" s="2" t="s">
        <v>168</v>
      </c>
      <c r="B152" s="2" t="s">
        <v>123</v>
      </c>
      <c r="C152" s="2" t="s">
        <v>16</v>
      </c>
      <c r="D152" s="2" t="n">
        <v>3.95</v>
      </c>
      <c r="E152" s="2" t="n">
        <v>0.727272727272727</v>
      </c>
      <c r="F152" s="2" t="n">
        <v>1143</v>
      </c>
      <c r="G152" s="2" t="n">
        <v>3</v>
      </c>
      <c r="H152" s="2" t="n">
        <v>52.1</v>
      </c>
    </row>
    <row r="153" customFormat="false" ht="15" hidden="false" customHeight="false" outlineLevel="0" collapsed="false">
      <c r="A153" s="2" t="s">
        <v>169</v>
      </c>
      <c r="B153" s="2" t="s">
        <v>123</v>
      </c>
      <c r="C153" s="2" t="s">
        <v>62</v>
      </c>
      <c r="D153" s="2" t="n">
        <v>14.74</v>
      </c>
      <c r="E153" s="2"/>
      <c r="F153" s="2" t="n">
        <v>458.6</v>
      </c>
      <c r="G153" s="2" t="n">
        <v>0</v>
      </c>
      <c r="H153" s="2" t="n">
        <v>79</v>
      </c>
    </row>
    <row r="154" customFormat="false" ht="15" hidden="false" customHeight="false" outlineLevel="0" collapsed="false">
      <c r="A154" s="2" t="s">
        <v>170</v>
      </c>
      <c r="B154" s="2" t="s">
        <v>123</v>
      </c>
      <c r="C154" s="2" t="s">
        <v>16</v>
      </c>
      <c r="D154" s="2" t="n">
        <v>3.48</v>
      </c>
      <c r="E154" s="2" t="n">
        <v>0.866666666666667</v>
      </c>
      <c r="F154" s="2" t="n">
        <v>804.6</v>
      </c>
      <c r="G154" s="2" t="n">
        <v>6</v>
      </c>
      <c r="H154" s="2" t="n">
        <v>74.3</v>
      </c>
    </row>
    <row r="155" customFormat="false" ht="15" hidden="false" customHeight="false" outlineLevel="0" collapsed="false">
      <c r="A155" s="2" t="s">
        <v>171</v>
      </c>
      <c r="B155" s="2" t="s">
        <v>123</v>
      </c>
      <c r="C155" s="2" t="s">
        <v>62</v>
      </c>
      <c r="D155" s="2" t="n">
        <v>8.66</v>
      </c>
      <c r="E155" s="2" t="n">
        <v>0.8125</v>
      </c>
      <c r="F155" s="2" t="n">
        <v>1538.7</v>
      </c>
      <c r="G155" s="2" t="n">
        <v>1</v>
      </c>
      <c r="H155" s="2" t="n">
        <v>47.2</v>
      </c>
    </row>
    <row r="156" customFormat="false" ht="15" hidden="false" customHeight="false" outlineLevel="0" collapsed="false">
      <c r="A156" s="2" t="s">
        <v>172</v>
      </c>
      <c r="B156" s="2" t="s">
        <v>123</v>
      </c>
      <c r="C156" s="2" t="s">
        <v>62</v>
      </c>
      <c r="D156" s="2" t="n">
        <v>10.72</v>
      </c>
      <c r="E156" s="2" t="n">
        <v>0.5</v>
      </c>
      <c r="F156" s="2" t="n">
        <v>120.1</v>
      </c>
      <c r="G156" s="2" t="n">
        <v>2</v>
      </c>
      <c r="H156" s="2" t="n">
        <v>81.4</v>
      </c>
    </row>
    <row r="157" customFormat="false" ht="15" hidden="false" customHeight="false" outlineLevel="0" collapsed="false">
      <c r="A157" s="2" t="s">
        <v>173</v>
      </c>
      <c r="B157" s="2" t="s">
        <v>123</v>
      </c>
      <c r="C157" s="2" t="s">
        <v>70</v>
      </c>
      <c r="D157" s="2" t="n">
        <v>1.51</v>
      </c>
      <c r="E157" s="2"/>
      <c r="F157" s="2" t="n">
        <v>311.8</v>
      </c>
      <c r="G157" s="2" t="n">
        <v>2</v>
      </c>
      <c r="H157" s="2" t="n">
        <v>61.6</v>
      </c>
    </row>
    <row r="158" customFormat="false" ht="15" hidden="false" customHeight="false" outlineLevel="0" collapsed="false">
      <c r="A158" s="2" t="s">
        <v>174</v>
      </c>
      <c r="B158" s="2" t="s">
        <v>123</v>
      </c>
      <c r="C158" s="2" t="s">
        <v>70</v>
      </c>
      <c r="D158" s="2" t="n">
        <v>2.03</v>
      </c>
      <c r="E158" s="2" t="n">
        <v>0.8</v>
      </c>
      <c r="F158" s="2" t="n">
        <v>347.2</v>
      </c>
      <c r="G158" s="2" t="n">
        <v>0</v>
      </c>
      <c r="H158" s="2" t="n">
        <v>71.5</v>
      </c>
    </row>
    <row r="159" customFormat="false" ht="15" hidden="false" customHeight="false" outlineLevel="0" collapsed="false">
      <c r="A159" s="2" t="s">
        <v>175</v>
      </c>
      <c r="B159" s="2" t="s">
        <v>123</v>
      </c>
      <c r="C159" s="2" t="s">
        <v>16</v>
      </c>
      <c r="D159" s="2" t="n">
        <v>4.02</v>
      </c>
      <c r="E159" s="2" t="n">
        <v>0.894736842105263</v>
      </c>
      <c r="F159" s="2" t="n">
        <v>1221.4</v>
      </c>
      <c r="G159" s="2" t="n">
        <v>6</v>
      </c>
      <c r="H159" s="2" t="n">
        <v>44.3</v>
      </c>
    </row>
    <row r="160" customFormat="false" ht="15" hidden="false" customHeight="false" outlineLevel="0" collapsed="false">
      <c r="A160" s="2" t="s">
        <v>176</v>
      </c>
      <c r="B160" s="2" t="s">
        <v>123</v>
      </c>
      <c r="C160" s="2" t="s">
        <v>70</v>
      </c>
      <c r="D160" s="2" t="n">
        <v>2.3</v>
      </c>
      <c r="E160" s="2" t="n">
        <v>0.875</v>
      </c>
      <c r="F160" s="2" t="n">
        <v>578.3</v>
      </c>
      <c r="G160" s="2" t="n">
        <v>1</v>
      </c>
      <c r="H160" s="2" t="n">
        <v>34.9</v>
      </c>
    </row>
    <row r="161" customFormat="false" ht="15" hidden="false" customHeight="false" outlineLevel="0" collapsed="false">
      <c r="A161" s="2" t="s">
        <v>177</v>
      </c>
      <c r="B161" s="2" t="s">
        <v>123</v>
      </c>
      <c r="C161" s="2" t="s">
        <v>70</v>
      </c>
      <c r="D161" s="2" t="n">
        <v>1.19</v>
      </c>
      <c r="E161" s="2" t="n">
        <v>1</v>
      </c>
      <c r="F161" s="2" t="n">
        <v>245.7</v>
      </c>
      <c r="G161" s="2" t="n">
        <v>3</v>
      </c>
      <c r="H161" s="2" t="n">
        <v>31.9</v>
      </c>
    </row>
    <row r="162" customFormat="false" ht="15" hidden="false" customHeight="false" outlineLevel="0" collapsed="false">
      <c r="A162" s="2" t="s">
        <v>178</v>
      </c>
      <c r="B162" s="2" t="s">
        <v>123</v>
      </c>
      <c r="C162" s="2" t="s">
        <v>62</v>
      </c>
      <c r="D162" s="2" t="n">
        <v>13</v>
      </c>
      <c r="E162" s="2" t="n">
        <v>0.8</v>
      </c>
      <c r="F162" s="2" t="n">
        <v>2898.5</v>
      </c>
      <c r="G162" s="2" t="n">
        <v>1</v>
      </c>
      <c r="H162" s="2" t="n">
        <v>63.8</v>
      </c>
    </row>
    <row r="163" customFormat="false" ht="15" hidden="false" customHeight="false" outlineLevel="0" collapsed="false">
      <c r="A163" s="2" t="s">
        <v>179</v>
      </c>
      <c r="B163" s="2" t="s">
        <v>123</v>
      </c>
      <c r="C163" s="2" t="s">
        <v>70</v>
      </c>
      <c r="D163" s="2" t="n">
        <v>2.26</v>
      </c>
      <c r="E163" s="2" t="n">
        <v>0.9</v>
      </c>
      <c r="F163" s="2" t="n">
        <v>474.6</v>
      </c>
      <c r="G163" s="2" t="n">
        <v>1</v>
      </c>
      <c r="H163" s="2" t="n">
        <v>27</v>
      </c>
    </row>
    <row r="164" customFormat="false" ht="15" hidden="false" customHeight="false" outlineLevel="0" collapsed="false">
      <c r="A164" s="2" t="s">
        <v>180</v>
      </c>
      <c r="B164" s="2" t="s">
        <v>123</v>
      </c>
      <c r="C164" s="2" t="s">
        <v>16</v>
      </c>
      <c r="D164" s="2" t="n">
        <v>4.67</v>
      </c>
      <c r="E164" s="2" t="n">
        <v>0.923076923076923</v>
      </c>
      <c r="F164" s="2" t="n">
        <v>1354.8</v>
      </c>
      <c r="G164" s="2" t="n">
        <v>1</v>
      </c>
      <c r="H164" s="2" t="n">
        <v>40.3</v>
      </c>
    </row>
    <row r="165" customFormat="false" ht="15" hidden="false" customHeight="false" outlineLevel="0" collapsed="false">
      <c r="A165" s="2" t="s">
        <v>181</v>
      </c>
      <c r="B165" s="2" t="s">
        <v>123</v>
      </c>
      <c r="C165" s="2" t="s">
        <v>62</v>
      </c>
      <c r="D165" s="2" t="n">
        <v>18.18</v>
      </c>
      <c r="E165" s="2" t="n">
        <v>0.909090909090909</v>
      </c>
      <c r="F165" s="2" t="n">
        <v>206.4</v>
      </c>
      <c r="G165" s="2" t="n">
        <v>0</v>
      </c>
      <c r="H165" s="2" t="n">
        <v>50.5</v>
      </c>
    </row>
    <row r="166" customFormat="false" ht="15" hidden="false" customHeight="false" outlineLevel="0" collapsed="false">
      <c r="A166" s="2" t="s">
        <v>182</v>
      </c>
      <c r="B166" s="2" t="s">
        <v>123</v>
      </c>
      <c r="C166" s="2" t="s">
        <v>16</v>
      </c>
      <c r="D166" s="2" t="n">
        <v>4.63</v>
      </c>
      <c r="E166" s="2" t="n">
        <v>0.75</v>
      </c>
      <c r="F166" s="2" t="n">
        <v>372.6</v>
      </c>
      <c r="G166" s="2" t="n">
        <v>1</v>
      </c>
      <c r="H166" s="2" t="n">
        <v>62.6</v>
      </c>
    </row>
    <row r="167" customFormat="false" ht="15" hidden="false" customHeight="false" outlineLevel="0" collapsed="false">
      <c r="A167" s="2" t="s">
        <v>183</v>
      </c>
      <c r="B167" s="2" t="s">
        <v>123</v>
      </c>
      <c r="C167" s="2" t="s">
        <v>16</v>
      </c>
      <c r="D167" s="2" t="n">
        <v>3.05</v>
      </c>
      <c r="E167" s="2" t="n">
        <v>0.769230769230769</v>
      </c>
      <c r="F167" s="2" t="n">
        <v>508.3</v>
      </c>
      <c r="G167" s="2" t="n">
        <v>6</v>
      </c>
      <c r="H167" s="2" t="n">
        <v>59.6</v>
      </c>
    </row>
    <row r="168" customFormat="false" ht="15" hidden="false" customHeight="false" outlineLevel="0" collapsed="false">
      <c r="A168" s="2" t="s">
        <v>184</v>
      </c>
      <c r="B168" s="2" t="s">
        <v>123</v>
      </c>
      <c r="C168" s="2" t="s">
        <v>70</v>
      </c>
      <c r="D168" s="2" t="n">
        <v>1.15</v>
      </c>
      <c r="E168" s="2" t="n">
        <v>1</v>
      </c>
      <c r="F168" s="2" t="n">
        <v>216.5</v>
      </c>
      <c r="G168" s="2" t="n">
        <v>4</v>
      </c>
      <c r="H168" s="2" t="n">
        <v>25.5</v>
      </c>
    </row>
    <row r="169" customFormat="false" ht="15" hidden="false" customHeight="false" outlineLevel="0" collapsed="false">
      <c r="A169" s="2" t="s">
        <v>185</v>
      </c>
      <c r="B169" s="2" t="s">
        <v>123</v>
      </c>
      <c r="C169" s="2" t="s">
        <v>70</v>
      </c>
      <c r="D169" s="2" t="n">
        <v>1.14</v>
      </c>
      <c r="E169" s="2"/>
      <c r="F169" s="2" t="n">
        <v>220.8</v>
      </c>
      <c r="G169" s="2" t="n">
        <v>4</v>
      </c>
      <c r="H169" s="2" t="n">
        <v>68.6</v>
      </c>
    </row>
    <row r="170" customFormat="false" ht="15" hidden="false" customHeight="false" outlineLevel="0" collapsed="false">
      <c r="A170" s="2" t="s">
        <v>186</v>
      </c>
      <c r="B170" s="2" t="s">
        <v>123</v>
      </c>
      <c r="C170" s="2" t="s">
        <v>62</v>
      </c>
      <c r="D170" s="2" t="n">
        <v>11.11</v>
      </c>
      <c r="E170" s="2" t="n">
        <v>0.894736842105263</v>
      </c>
      <c r="F170" s="2" t="n">
        <v>3014</v>
      </c>
      <c r="G170" s="2" t="n">
        <v>6</v>
      </c>
      <c r="H170" s="2" t="n">
        <v>46.9</v>
      </c>
    </row>
    <row r="171" customFormat="false" ht="15" hidden="false" customHeight="false" outlineLevel="0" collapsed="false">
      <c r="A171" s="2" t="s">
        <v>187</v>
      </c>
      <c r="B171" s="2" t="s">
        <v>123</v>
      </c>
      <c r="C171" s="2" t="s">
        <v>16</v>
      </c>
      <c r="D171" s="2" t="n">
        <v>3.63</v>
      </c>
      <c r="E171" s="2" t="n">
        <v>0.833333333333333</v>
      </c>
      <c r="F171" s="2" t="n">
        <v>507.1</v>
      </c>
      <c r="G171" s="2" t="n">
        <v>0</v>
      </c>
      <c r="H171" s="2" t="n">
        <v>70.2</v>
      </c>
    </row>
    <row r="172" customFormat="false" ht="15" hidden="false" customHeight="false" outlineLevel="0" collapsed="false">
      <c r="A172" s="2" t="s">
        <v>188</v>
      </c>
      <c r="B172" s="2" t="s">
        <v>123</v>
      </c>
      <c r="C172" s="2" t="s">
        <v>70</v>
      </c>
      <c r="D172" s="2" t="n">
        <v>1.01</v>
      </c>
      <c r="E172" s="2"/>
      <c r="F172" s="2" t="n">
        <v>0</v>
      </c>
      <c r="G172" s="2" t="n">
        <v>0</v>
      </c>
      <c r="H172" s="2" t="n">
        <v>46.1</v>
      </c>
    </row>
    <row r="173" customFormat="false" ht="15" hidden="false" customHeight="false" outlineLevel="0" collapsed="false">
      <c r="A173" s="2" t="s">
        <v>189</v>
      </c>
      <c r="B173" s="2" t="s">
        <v>123</v>
      </c>
      <c r="C173" s="2" t="s">
        <v>70</v>
      </c>
      <c r="D173" s="2" t="n">
        <v>2.49</v>
      </c>
      <c r="E173" s="2"/>
      <c r="F173" s="2" t="n">
        <v>0</v>
      </c>
      <c r="G173" s="2" t="n">
        <v>3</v>
      </c>
      <c r="H173" s="2" t="n">
        <v>48.1</v>
      </c>
    </row>
    <row r="174" customFormat="false" ht="15" hidden="false" customHeight="false" outlineLevel="0" collapsed="false">
      <c r="A174" s="2" t="s">
        <v>190</v>
      </c>
      <c r="B174" s="2" t="s">
        <v>123</v>
      </c>
      <c r="C174" s="2" t="s">
        <v>62</v>
      </c>
      <c r="D174" s="2" t="n">
        <v>10.37</v>
      </c>
      <c r="E174" s="2"/>
      <c r="F174" s="2" t="n">
        <v>0</v>
      </c>
      <c r="G174" s="2" t="n">
        <v>2</v>
      </c>
      <c r="H174" s="2" t="n">
        <v>46.4</v>
      </c>
    </row>
    <row r="175" customFormat="false" ht="15" hidden="false" customHeight="false" outlineLevel="0" collapsed="false">
      <c r="A175" s="2" t="s">
        <v>191</v>
      </c>
      <c r="B175" s="2" t="s">
        <v>123</v>
      </c>
      <c r="C175" s="2" t="s">
        <v>70</v>
      </c>
      <c r="D175" s="2" t="n">
        <v>2.37</v>
      </c>
      <c r="E175" s="2"/>
      <c r="F175" s="2" t="n">
        <v>0</v>
      </c>
      <c r="G175" s="2" t="n">
        <v>0</v>
      </c>
      <c r="H175" s="2" t="n">
        <v>48.1</v>
      </c>
    </row>
    <row r="176" customFormat="false" ht="15" hidden="false" customHeight="false" outlineLevel="0" collapsed="false">
      <c r="A176" s="2" t="s">
        <v>192</v>
      </c>
      <c r="B176" s="2" t="s">
        <v>123</v>
      </c>
      <c r="C176" s="2" t="s">
        <v>70</v>
      </c>
      <c r="D176" s="2" t="n">
        <v>2.85</v>
      </c>
      <c r="E176" s="2"/>
      <c r="F176" s="2" t="n">
        <v>0</v>
      </c>
      <c r="G176" s="2" t="n">
        <v>0</v>
      </c>
      <c r="H176" s="2" t="n">
        <v>46.6</v>
      </c>
    </row>
    <row r="177" customFormat="false" ht="15" hidden="false" customHeight="false" outlineLevel="0" collapsed="false">
      <c r="A177" s="2" t="s">
        <v>193</v>
      </c>
      <c r="B177" s="2" t="s">
        <v>123</v>
      </c>
      <c r="C177" s="2" t="s">
        <v>62</v>
      </c>
      <c r="D177" s="2" t="n">
        <v>5.46</v>
      </c>
      <c r="E177" s="2"/>
      <c r="F177" s="2" t="n">
        <v>0</v>
      </c>
      <c r="G177" s="2" t="n">
        <v>3</v>
      </c>
      <c r="H177" s="2" t="n">
        <v>48.1</v>
      </c>
    </row>
    <row r="178" customFormat="false" ht="15" hidden="false" customHeight="false" outlineLevel="0" collapsed="false">
      <c r="A178" s="2" t="s">
        <v>194</v>
      </c>
      <c r="B178" s="2" t="s">
        <v>123</v>
      </c>
      <c r="C178" s="2" t="s">
        <v>70</v>
      </c>
      <c r="D178" s="2" t="n">
        <v>2.49</v>
      </c>
      <c r="E178" s="2"/>
      <c r="F178" s="2" t="n">
        <v>0</v>
      </c>
      <c r="G178" s="2" t="n">
        <v>0</v>
      </c>
      <c r="H178" s="2" t="n">
        <v>57.4</v>
      </c>
    </row>
    <row r="179" customFormat="false" ht="15" hidden="false" customHeight="false" outlineLevel="0" collapsed="false">
      <c r="A179" s="2" t="s">
        <v>195</v>
      </c>
      <c r="B179" s="2" t="s">
        <v>123</v>
      </c>
      <c r="C179" s="2" t="s">
        <v>62</v>
      </c>
      <c r="D179" s="2" t="n">
        <v>9.42</v>
      </c>
      <c r="E179" s="2"/>
      <c r="F179" s="2" t="n">
        <v>0</v>
      </c>
      <c r="G179" s="2" t="n">
        <v>2</v>
      </c>
      <c r="H179" s="2" t="n">
        <v>48.1</v>
      </c>
    </row>
    <row r="180" customFormat="false" ht="15" hidden="false" customHeight="false" outlineLevel="0" collapsed="false">
      <c r="A180" s="2" t="s">
        <v>196</v>
      </c>
      <c r="B180" s="2" t="s">
        <v>123</v>
      </c>
      <c r="C180" s="2" t="s">
        <v>70</v>
      </c>
      <c r="D180" s="2" t="n">
        <v>2.77</v>
      </c>
      <c r="E180" s="2"/>
      <c r="F180" s="2" t="n">
        <v>0</v>
      </c>
      <c r="G180" s="2" t="n">
        <v>2</v>
      </c>
      <c r="H180" s="2" t="n">
        <v>48.1</v>
      </c>
    </row>
    <row r="181" customFormat="false" ht="15" hidden="false" customHeight="false" outlineLevel="0" collapsed="false">
      <c r="A181" s="2" t="s">
        <v>197</v>
      </c>
      <c r="B181" s="2" t="s">
        <v>123</v>
      </c>
      <c r="C181" s="2" t="s">
        <v>62</v>
      </c>
      <c r="D181" s="2" t="n">
        <v>14.72</v>
      </c>
      <c r="E181" s="2"/>
      <c r="F181" s="2" t="n">
        <v>0</v>
      </c>
      <c r="G181" s="2" t="n">
        <v>3</v>
      </c>
      <c r="H181" s="2" t="n">
        <v>48.1</v>
      </c>
    </row>
    <row r="182" customFormat="false" ht="15" hidden="false" customHeight="false" outlineLevel="0" collapsed="false">
      <c r="A182" s="2" t="s">
        <v>198</v>
      </c>
      <c r="B182" s="2" t="s">
        <v>123</v>
      </c>
      <c r="C182" s="2" t="s">
        <v>70</v>
      </c>
      <c r="D182" s="2" t="n">
        <v>2.75</v>
      </c>
      <c r="E182" s="2"/>
      <c r="F182" s="2" t="n">
        <v>0</v>
      </c>
      <c r="G182" s="2" t="n">
        <v>0</v>
      </c>
      <c r="H182" s="2" t="n">
        <v>48.1</v>
      </c>
    </row>
    <row r="183" customFormat="false" ht="15" hidden="false" customHeight="false" outlineLevel="0" collapsed="false">
      <c r="A183" s="2" t="s">
        <v>199</v>
      </c>
      <c r="B183" s="2" t="s">
        <v>123</v>
      </c>
      <c r="C183" s="2" t="s">
        <v>70</v>
      </c>
      <c r="D183" s="2" t="n">
        <v>2.15</v>
      </c>
      <c r="E183" s="2"/>
      <c r="F183" s="2" t="n">
        <v>0</v>
      </c>
      <c r="G183" s="2" t="n">
        <v>2</v>
      </c>
      <c r="H183" s="2" t="n">
        <v>48.1</v>
      </c>
    </row>
    <row r="184" customFormat="false" ht="15" hidden="false" customHeight="false" outlineLevel="0" collapsed="false">
      <c r="A184" s="2" t="s">
        <v>200</v>
      </c>
      <c r="B184" s="2" t="s">
        <v>123</v>
      </c>
      <c r="C184" s="2" t="s">
        <v>16</v>
      </c>
      <c r="D184" s="2" t="n">
        <v>3.17</v>
      </c>
      <c r="E184" s="2"/>
      <c r="F184" s="2" t="n">
        <v>0</v>
      </c>
      <c r="G184" s="2" t="n">
        <v>0</v>
      </c>
      <c r="H184" s="2" t="n">
        <v>48.1</v>
      </c>
    </row>
    <row r="185" customFormat="false" ht="15" hidden="false" customHeight="false" outlineLevel="0" collapsed="false">
      <c r="A185" s="2" t="s">
        <v>201</v>
      </c>
      <c r="B185" s="2" t="s">
        <v>123</v>
      </c>
      <c r="C185" s="2" t="s">
        <v>62</v>
      </c>
      <c r="D185" s="2" t="n">
        <v>15.89</v>
      </c>
      <c r="E185" s="2"/>
      <c r="F185" s="2" t="n">
        <v>0</v>
      </c>
      <c r="G185" s="2" t="n">
        <v>1</v>
      </c>
      <c r="H185" s="2" t="n">
        <v>48.1</v>
      </c>
    </row>
    <row r="186" customFormat="false" ht="15" hidden="false" customHeight="false" outlineLevel="0" collapsed="false">
      <c r="A186" s="2" t="s">
        <v>202</v>
      </c>
      <c r="B186" s="2" t="s">
        <v>123</v>
      </c>
      <c r="C186" s="2" t="s">
        <v>62</v>
      </c>
      <c r="D186" s="2" t="n">
        <v>17.77</v>
      </c>
      <c r="E186" s="2"/>
      <c r="F186" s="2" t="n">
        <v>0</v>
      </c>
      <c r="G186" s="2" t="n">
        <v>5</v>
      </c>
      <c r="H186" s="2" t="n">
        <v>48.1</v>
      </c>
    </row>
    <row r="187" customFormat="false" ht="15" hidden="false" customHeight="false" outlineLevel="0" collapsed="false">
      <c r="A187" s="2" t="s">
        <v>203</v>
      </c>
      <c r="B187" s="2" t="s">
        <v>123</v>
      </c>
      <c r="C187" s="2" t="s">
        <v>70</v>
      </c>
      <c r="D187" s="2" t="n">
        <v>2.23</v>
      </c>
      <c r="E187" s="2"/>
      <c r="F187" s="2" t="n">
        <v>0</v>
      </c>
      <c r="G187" s="2" t="n">
        <v>0</v>
      </c>
      <c r="H187" s="2" t="n">
        <v>45.3</v>
      </c>
    </row>
    <row r="188" customFormat="false" ht="15" hidden="false" customHeight="false" outlineLevel="0" collapsed="false">
      <c r="A188" s="2" t="s">
        <v>204</v>
      </c>
      <c r="B188" s="2" t="s">
        <v>123</v>
      </c>
      <c r="C188" s="2" t="s">
        <v>70</v>
      </c>
      <c r="D188" s="2" t="n">
        <v>2.34</v>
      </c>
      <c r="E188" s="2"/>
      <c r="F188" s="2" t="n">
        <v>0</v>
      </c>
      <c r="G188" s="2" t="n">
        <v>1</v>
      </c>
      <c r="H188" s="2" t="n">
        <v>48.1</v>
      </c>
    </row>
    <row r="189" customFormat="false" ht="15" hidden="false" customHeight="false" outlineLevel="0" collapsed="false">
      <c r="A189" s="2" t="s">
        <v>205</v>
      </c>
      <c r="B189" s="2" t="s">
        <v>123</v>
      </c>
      <c r="C189" s="2" t="s">
        <v>70</v>
      </c>
      <c r="D189" s="2" t="n">
        <v>2.5</v>
      </c>
      <c r="E189" s="2"/>
      <c r="F189" s="2" t="n">
        <v>0</v>
      </c>
      <c r="G189" s="2" t="n">
        <v>4</v>
      </c>
      <c r="H189" s="2" t="n">
        <v>48.1</v>
      </c>
    </row>
    <row r="190" customFormat="false" ht="15" hidden="false" customHeight="false" outlineLevel="0" collapsed="false">
      <c r="A190" s="2" t="s">
        <v>206</v>
      </c>
      <c r="B190" s="2" t="s">
        <v>123</v>
      </c>
      <c r="C190" s="2" t="s">
        <v>16</v>
      </c>
      <c r="D190" s="2" t="n">
        <v>4.29</v>
      </c>
      <c r="E190" s="2"/>
      <c r="F190" s="2" t="n">
        <v>0</v>
      </c>
      <c r="G190" s="2" t="n">
        <v>1</v>
      </c>
      <c r="H190" s="2" t="n">
        <v>46.4</v>
      </c>
    </row>
    <row r="191" customFormat="false" ht="15" hidden="false" customHeight="false" outlineLevel="0" collapsed="false">
      <c r="A191" s="2" t="s">
        <v>207</v>
      </c>
      <c r="B191" s="2" t="s">
        <v>123</v>
      </c>
      <c r="C191" s="2" t="s">
        <v>16</v>
      </c>
      <c r="D191" s="2" t="n">
        <v>3.5</v>
      </c>
      <c r="E191" s="2"/>
      <c r="F191" s="2" t="n">
        <v>0</v>
      </c>
      <c r="G191" s="2" t="n">
        <v>3</v>
      </c>
      <c r="H191" s="2" t="n">
        <v>48.1</v>
      </c>
    </row>
    <row r="192" customFormat="false" ht="15" hidden="false" customHeight="false" outlineLevel="0" collapsed="false">
      <c r="A192" s="2" t="s">
        <v>208</v>
      </c>
      <c r="B192" s="2" t="s">
        <v>123</v>
      </c>
      <c r="C192" s="2" t="s">
        <v>16</v>
      </c>
      <c r="D192" s="2" t="n">
        <v>4.9</v>
      </c>
      <c r="E192" s="2"/>
      <c r="F192" s="2" t="n">
        <v>0</v>
      </c>
      <c r="G192" s="2" t="n">
        <v>0</v>
      </c>
      <c r="H192" s="2" t="n">
        <v>48.1</v>
      </c>
    </row>
    <row r="193" customFormat="false" ht="15" hidden="false" customHeight="false" outlineLevel="0" collapsed="false">
      <c r="A193" s="2" t="s">
        <v>209</v>
      </c>
      <c r="B193" s="2" t="s">
        <v>123</v>
      </c>
      <c r="C193" s="2" t="s">
        <v>16</v>
      </c>
      <c r="D193" s="2" t="n">
        <v>3.47</v>
      </c>
      <c r="E193" s="2"/>
      <c r="F193" s="2" t="n">
        <v>0</v>
      </c>
      <c r="G193" s="2" t="n">
        <v>2</v>
      </c>
      <c r="H193" s="2" t="n">
        <v>48.1</v>
      </c>
    </row>
    <row r="194" customFormat="false" ht="15" hidden="false" customHeight="false" outlineLevel="0" collapsed="false">
      <c r="A194" s="2" t="s">
        <v>210</v>
      </c>
      <c r="B194" s="2" t="s">
        <v>123</v>
      </c>
      <c r="C194" s="2" t="s">
        <v>70</v>
      </c>
      <c r="D194" s="2" t="n">
        <v>1.39</v>
      </c>
      <c r="E194" s="2"/>
      <c r="F194" s="2" t="n">
        <v>0</v>
      </c>
      <c r="G194" s="2" t="n">
        <v>2</v>
      </c>
      <c r="H194" s="2" t="n">
        <v>57.4</v>
      </c>
    </row>
    <row r="195" customFormat="false" ht="15" hidden="false" customHeight="false" outlineLevel="0" collapsed="false">
      <c r="A195" s="2" t="s">
        <v>211</v>
      </c>
      <c r="B195" s="2" t="s">
        <v>123</v>
      </c>
      <c r="C195" s="2" t="s">
        <v>16</v>
      </c>
      <c r="D195" s="2" t="n">
        <v>4.32</v>
      </c>
      <c r="E195" s="2"/>
      <c r="F195" s="2" t="n">
        <v>0</v>
      </c>
      <c r="G195" s="2" t="n">
        <v>3</v>
      </c>
      <c r="H195" s="2" t="n">
        <v>48.1</v>
      </c>
    </row>
    <row r="196" customFormat="false" ht="15" hidden="false" customHeight="false" outlineLevel="0" collapsed="false">
      <c r="A196" s="2" t="s">
        <v>212</v>
      </c>
      <c r="B196" s="2" t="s">
        <v>123</v>
      </c>
      <c r="C196" s="2" t="s">
        <v>70</v>
      </c>
      <c r="D196" s="2" t="n">
        <v>2.13</v>
      </c>
      <c r="E196" s="2"/>
      <c r="F196" s="2" t="n">
        <v>0</v>
      </c>
      <c r="G196" s="2" t="n">
        <v>2</v>
      </c>
      <c r="H196" s="2" t="n">
        <v>60.1</v>
      </c>
    </row>
    <row r="197" customFormat="false" ht="15" hidden="false" customHeight="false" outlineLevel="0" collapsed="false">
      <c r="A197" s="2" t="s">
        <v>213</v>
      </c>
      <c r="B197" s="2" t="s">
        <v>123</v>
      </c>
      <c r="C197" s="2" t="s">
        <v>62</v>
      </c>
      <c r="D197" s="2" t="n">
        <v>7.53</v>
      </c>
      <c r="E197" s="2"/>
      <c r="F197" s="2" t="n">
        <v>0</v>
      </c>
      <c r="G197" s="2" t="n">
        <v>0</v>
      </c>
      <c r="H197" s="2" t="n">
        <v>48.1</v>
      </c>
    </row>
    <row r="198" customFormat="false" ht="15" hidden="false" customHeight="false" outlineLevel="0" collapsed="false">
      <c r="A198" s="2" t="s">
        <v>214</v>
      </c>
      <c r="B198" s="2" t="s">
        <v>123</v>
      </c>
      <c r="C198" s="2" t="s">
        <v>62</v>
      </c>
      <c r="D198" s="2" t="n">
        <v>15.68</v>
      </c>
      <c r="E198" s="2"/>
      <c r="F198" s="2" t="n">
        <v>0</v>
      </c>
      <c r="G198" s="2" t="n">
        <v>3</v>
      </c>
      <c r="H198" s="2" t="n">
        <v>48.1</v>
      </c>
    </row>
    <row r="199" customFormat="false" ht="15" hidden="false" customHeight="false" outlineLevel="0" collapsed="false">
      <c r="A199" s="2" t="s">
        <v>215</v>
      </c>
      <c r="B199" s="2" t="s">
        <v>123</v>
      </c>
      <c r="C199" s="2" t="s">
        <v>70</v>
      </c>
      <c r="D199" s="2" t="n">
        <v>1.72</v>
      </c>
      <c r="E199" s="2"/>
      <c r="F199" s="2" t="n">
        <v>0</v>
      </c>
      <c r="G199" s="2" t="n">
        <v>2</v>
      </c>
      <c r="H199" s="2" t="n">
        <v>60.1</v>
      </c>
    </row>
    <row r="200" customFormat="false" ht="15" hidden="false" customHeight="false" outlineLevel="0" collapsed="false">
      <c r="A200" s="2" t="s">
        <v>216</v>
      </c>
      <c r="B200" s="2" t="s">
        <v>123</v>
      </c>
      <c r="C200" s="2" t="s">
        <v>16</v>
      </c>
      <c r="D200" s="2" t="n">
        <v>3.96</v>
      </c>
      <c r="E200" s="2"/>
      <c r="F200" s="2" t="n">
        <v>0</v>
      </c>
      <c r="G200" s="2" t="n">
        <v>6</v>
      </c>
      <c r="H200" s="2" t="n">
        <v>44.9</v>
      </c>
    </row>
    <row r="201" customFormat="false" ht="15" hidden="false" customHeight="false" outlineLevel="0" collapsed="false">
      <c r="A201" s="2" t="s">
        <v>217</v>
      </c>
      <c r="B201" s="2" t="s">
        <v>123</v>
      </c>
      <c r="C201" s="2" t="s">
        <v>62</v>
      </c>
      <c r="D201" s="2" t="n">
        <v>12.3</v>
      </c>
      <c r="E201" s="2"/>
      <c r="F201" s="2" t="n">
        <v>0</v>
      </c>
      <c r="G201" s="2" t="n">
        <v>0</v>
      </c>
      <c r="H201" s="2" t="n">
        <v>57.4</v>
      </c>
    </row>
    <row r="202" customFormat="false" ht="15" hidden="false" customHeight="false" outlineLevel="0" collapsed="false">
      <c r="A202" s="2" t="s">
        <v>218</v>
      </c>
      <c r="B202" s="2" t="s">
        <v>123</v>
      </c>
      <c r="C202" s="2" t="s">
        <v>16</v>
      </c>
      <c r="D202" s="2" t="n">
        <v>3.16</v>
      </c>
      <c r="E202" s="2"/>
      <c r="F202" s="2" t="n">
        <v>0</v>
      </c>
      <c r="G202" s="2" t="n">
        <v>1</v>
      </c>
      <c r="H202" s="2" t="n">
        <v>46.1</v>
      </c>
    </row>
    <row r="203" customFormat="false" ht="15" hidden="false" customHeight="false" outlineLevel="0" collapsed="false">
      <c r="A203" s="2" t="s">
        <v>219</v>
      </c>
      <c r="B203" s="2" t="s">
        <v>123</v>
      </c>
      <c r="C203" s="2" t="s">
        <v>62</v>
      </c>
      <c r="D203" s="2" t="n">
        <v>18.37</v>
      </c>
      <c r="E203" s="2"/>
      <c r="F203" s="2" t="n">
        <v>0</v>
      </c>
      <c r="G203" s="2" t="n">
        <v>0</v>
      </c>
      <c r="H203" s="2" t="n">
        <v>46.4</v>
      </c>
    </row>
    <row r="204" customFormat="false" ht="15" hidden="false" customHeight="false" outlineLevel="0" collapsed="false">
      <c r="A204" s="2" t="s">
        <v>220</v>
      </c>
      <c r="B204" s="2" t="s">
        <v>123</v>
      </c>
      <c r="C204" s="2" t="s">
        <v>62</v>
      </c>
      <c r="D204" s="2" t="n">
        <v>14.4</v>
      </c>
      <c r="E204" s="2"/>
      <c r="F204" s="2" t="n">
        <v>0</v>
      </c>
      <c r="G204" s="2" t="n">
        <v>2</v>
      </c>
      <c r="H204" s="2" t="n">
        <v>57.4</v>
      </c>
    </row>
    <row r="205" customFormat="false" ht="15" hidden="false" customHeight="false" outlineLevel="0" collapsed="false">
      <c r="A205" s="2" t="s">
        <v>221</v>
      </c>
      <c r="B205" s="2" t="s">
        <v>123</v>
      </c>
      <c r="C205" s="2" t="s">
        <v>62</v>
      </c>
      <c r="D205" s="2" t="n">
        <v>17.74</v>
      </c>
      <c r="E205" s="2"/>
      <c r="F205" s="2" t="n">
        <v>0</v>
      </c>
      <c r="G205" s="2" t="n">
        <v>0</v>
      </c>
      <c r="H205" s="2" t="n">
        <v>48.1</v>
      </c>
    </row>
    <row r="206" customFormat="false" ht="15" hidden="false" customHeight="false" outlineLevel="0" collapsed="false">
      <c r="A206" s="2" t="s">
        <v>222</v>
      </c>
      <c r="B206" s="2" t="s">
        <v>123</v>
      </c>
      <c r="C206" s="2" t="s">
        <v>62</v>
      </c>
      <c r="D206" s="2" t="n">
        <v>13.68</v>
      </c>
      <c r="E206" s="2"/>
      <c r="F206" s="2" t="n">
        <v>0</v>
      </c>
      <c r="G206" s="2" t="n">
        <v>3</v>
      </c>
      <c r="H206" s="2" t="n">
        <v>48.1</v>
      </c>
    </row>
    <row r="207" customFormat="false" ht="15" hidden="false" customHeight="false" outlineLevel="0" collapsed="false">
      <c r="A207" s="2" t="s">
        <v>223</v>
      </c>
      <c r="B207" s="2" t="s">
        <v>123</v>
      </c>
      <c r="C207" s="2" t="s">
        <v>70</v>
      </c>
      <c r="D207" s="2" t="n">
        <v>1.07</v>
      </c>
      <c r="E207" s="2"/>
      <c r="F207" s="2" t="n">
        <v>0</v>
      </c>
      <c r="G207" s="2" t="n">
        <v>0</v>
      </c>
      <c r="H207" s="2" t="n">
        <v>57.4</v>
      </c>
    </row>
    <row r="208" customFormat="false" ht="15" hidden="false" customHeight="false" outlineLevel="0" collapsed="false">
      <c r="A208" s="2" t="s">
        <v>224</v>
      </c>
      <c r="B208" s="2" t="s">
        <v>123</v>
      </c>
      <c r="C208" s="2" t="s">
        <v>62</v>
      </c>
      <c r="D208" s="2" t="n">
        <v>13.1</v>
      </c>
      <c r="E208" s="2"/>
      <c r="F208" s="2" t="n">
        <v>0</v>
      </c>
      <c r="G208" s="2" t="n">
        <v>2</v>
      </c>
      <c r="H208" s="2" t="n">
        <v>48.1</v>
      </c>
    </row>
    <row r="209" customFormat="false" ht="15" hidden="false" customHeight="false" outlineLevel="0" collapsed="false">
      <c r="A209" s="2" t="s">
        <v>225</v>
      </c>
      <c r="B209" s="2" t="s">
        <v>123</v>
      </c>
      <c r="C209" s="2" t="s">
        <v>70</v>
      </c>
      <c r="D209" s="2" t="n">
        <v>1.78</v>
      </c>
      <c r="E209" s="2"/>
      <c r="F209" s="2" t="n">
        <v>0</v>
      </c>
      <c r="G209" s="2" t="n">
        <v>3</v>
      </c>
      <c r="H209" s="2" t="n">
        <v>57.4</v>
      </c>
    </row>
    <row r="210" customFormat="false" ht="15" hidden="false" customHeight="false" outlineLevel="0" collapsed="false">
      <c r="A210" s="2" t="s">
        <v>226</v>
      </c>
      <c r="B210" s="2" t="s">
        <v>123</v>
      </c>
      <c r="C210" s="2" t="s">
        <v>16</v>
      </c>
      <c r="D210" s="2" t="n">
        <v>4.71</v>
      </c>
      <c r="E210" s="2"/>
      <c r="F210" s="2" t="n">
        <v>0</v>
      </c>
      <c r="G210" s="2" t="n">
        <v>5</v>
      </c>
      <c r="H210" s="2" t="n">
        <v>48.1</v>
      </c>
    </row>
    <row r="211" customFormat="false" ht="15" hidden="false" customHeight="false" outlineLevel="0" collapsed="false">
      <c r="A211" s="2" t="s">
        <v>227</v>
      </c>
      <c r="B211" s="2" t="s">
        <v>123</v>
      </c>
      <c r="C211" s="2" t="s">
        <v>16</v>
      </c>
      <c r="D211" s="2" t="n">
        <v>3.18</v>
      </c>
      <c r="E211" s="2"/>
      <c r="F211" s="2" t="n">
        <v>0</v>
      </c>
      <c r="G211" s="2" t="n">
        <v>3</v>
      </c>
      <c r="H211" s="2" t="n">
        <v>48.1</v>
      </c>
    </row>
    <row r="212" customFormat="false" ht="15" hidden="false" customHeight="false" outlineLevel="0" collapsed="false">
      <c r="A212" s="2" t="s">
        <v>228</v>
      </c>
      <c r="B212" s="2" t="s">
        <v>229</v>
      </c>
      <c r="C212" s="2" t="s">
        <v>10</v>
      </c>
      <c r="D212" s="2" t="n">
        <v>20.73</v>
      </c>
      <c r="E212" s="2"/>
      <c r="F212" s="2" t="n">
        <v>1037.6</v>
      </c>
      <c r="G212" s="2" t="n">
        <v>0</v>
      </c>
      <c r="H212" s="2" t="n">
        <v>48.1</v>
      </c>
    </row>
    <row r="213" customFormat="false" ht="15" hidden="false" customHeight="false" outlineLevel="0" collapsed="false">
      <c r="A213" s="2" t="s">
        <v>230</v>
      </c>
      <c r="B213" s="2" t="s">
        <v>229</v>
      </c>
      <c r="C213" s="2" t="s">
        <v>12</v>
      </c>
      <c r="D213" s="2" t="n">
        <v>13.63</v>
      </c>
      <c r="E213" s="2"/>
      <c r="F213" s="2" t="n">
        <v>1098.2</v>
      </c>
      <c r="G213" s="2" t="n">
        <v>1</v>
      </c>
      <c r="H213" s="2" t="n">
        <v>68.3</v>
      </c>
    </row>
    <row r="214" customFormat="false" ht="15" hidden="false" customHeight="false" outlineLevel="0" collapsed="false">
      <c r="A214" s="2" t="s">
        <v>231</v>
      </c>
      <c r="B214" s="2" t="s">
        <v>229</v>
      </c>
      <c r="C214" s="2" t="s">
        <v>14</v>
      </c>
      <c r="D214" s="2" t="n">
        <v>10.07</v>
      </c>
      <c r="E214" s="2" t="n">
        <v>0.692307692307692</v>
      </c>
      <c r="F214" s="2" t="n">
        <v>1448.3</v>
      </c>
      <c r="G214" s="2" t="n">
        <v>0</v>
      </c>
      <c r="H214" s="2" t="n">
        <v>91.5</v>
      </c>
    </row>
    <row r="215" customFormat="false" ht="15" hidden="false" customHeight="false" outlineLevel="0" collapsed="false">
      <c r="A215" s="2" t="s">
        <v>232</v>
      </c>
      <c r="B215" s="2" t="s">
        <v>229</v>
      </c>
      <c r="C215" s="2" t="s">
        <v>62</v>
      </c>
      <c r="D215" s="2" t="n">
        <v>15.18</v>
      </c>
      <c r="E215" s="2"/>
      <c r="F215" s="2" t="n">
        <v>0</v>
      </c>
      <c r="G215" s="2" t="n">
        <v>0</v>
      </c>
      <c r="H215" s="2" t="n">
        <v>48.1</v>
      </c>
    </row>
    <row r="216" customFormat="false" ht="15" hidden="false" customHeight="false" outlineLevel="0" collapsed="false">
      <c r="A216" s="2" t="s">
        <v>233</v>
      </c>
      <c r="B216" s="2" t="s">
        <v>229</v>
      </c>
      <c r="C216" s="2" t="s">
        <v>12</v>
      </c>
      <c r="D216" s="2" t="n">
        <v>12.54</v>
      </c>
      <c r="E216" s="2"/>
      <c r="F216" s="2" t="n">
        <v>0</v>
      </c>
      <c r="G216" s="2" t="n">
        <v>0</v>
      </c>
      <c r="H216" s="2" t="n">
        <v>48.1</v>
      </c>
    </row>
    <row r="217" customFormat="false" ht="15" hidden="false" customHeight="false" outlineLevel="0" collapsed="false">
      <c r="A217" s="2" t="s">
        <v>234</v>
      </c>
      <c r="B217" s="2" t="s">
        <v>229</v>
      </c>
      <c r="C217" s="2" t="s">
        <v>14</v>
      </c>
      <c r="D217" s="2" t="n">
        <v>8.19</v>
      </c>
      <c r="E217" s="2" t="n">
        <v>0.636363636363636</v>
      </c>
      <c r="F217" s="2" t="n">
        <v>1019.1</v>
      </c>
      <c r="G217" s="2" t="n">
        <v>1</v>
      </c>
      <c r="H217" s="2" t="n">
        <v>45.9</v>
      </c>
    </row>
    <row r="218" customFormat="false" ht="15" hidden="false" customHeight="false" outlineLevel="0" collapsed="false">
      <c r="A218" s="2" t="s">
        <v>235</v>
      </c>
      <c r="B218" s="2" t="s">
        <v>229</v>
      </c>
      <c r="C218" s="2" t="s">
        <v>24</v>
      </c>
      <c r="D218" s="2" t="n">
        <v>2.79</v>
      </c>
      <c r="E218" s="2" t="n">
        <v>0.666666666666667</v>
      </c>
      <c r="F218" s="2" t="n">
        <v>807.9</v>
      </c>
      <c r="G218" s="2" t="n">
        <v>1</v>
      </c>
      <c r="H218" s="2" t="n">
        <v>57.6</v>
      </c>
    </row>
    <row r="219" customFormat="false" ht="15" hidden="false" customHeight="false" outlineLevel="0" collapsed="false">
      <c r="A219" s="2" t="s">
        <v>236</v>
      </c>
      <c r="B219" s="2" t="s">
        <v>229</v>
      </c>
      <c r="C219" s="2" t="s">
        <v>12</v>
      </c>
      <c r="D219" s="2" t="n">
        <v>14.7</v>
      </c>
      <c r="E219" s="2" t="n">
        <v>0.625</v>
      </c>
      <c r="F219" s="2" t="n">
        <v>470.8</v>
      </c>
      <c r="G219" s="2" t="n">
        <v>0</v>
      </c>
      <c r="H219" s="2" t="n">
        <v>66.4</v>
      </c>
    </row>
    <row r="220" customFormat="false" ht="15" hidden="false" customHeight="false" outlineLevel="0" collapsed="false">
      <c r="A220" s="2" t="s">
        <v>237</v>
      </c>
      <c r="B220" s="2" t="s">
        <v>229</v>
      </c>
      <c r="C220" s="2" t="s">
        <v>24</v>
      </c>
      <c r="D220" s="2" t="n">
        <v>2.19</v>
      </c>
      <c r="E220" s="2"/>
      <c r="F220" s="2" t="n">
        <v>701.7</v>
      </c>
      <c r="G220" s="2" t="n">
        <v>4</v>
      </c>
      <c r="H220" s="2" t="n">
        <v>40.7</v>
      </c>
    </row>
    <row r="221" customFormat="false" ht="15" hidden="false" customHeight="false" outlineLevel="0" collapsed="false">
      <c r="A221" s="2" t="s">
        <v>238</v>
      </c>
      <c r="B221" s="2" t="s">
        <v>229</v>
      </c>
      <c r="C221" s="2" t="s">
        <v>19</v>
      </c>
      <c r="D221" s="2" t="n">
        <v>5.01</v>
      </c>
      <c r="E221" s="2"/>
      <c r="F221" s="2" t="n">
        <v>332.2</v>
      </c>
      <c r="G221" s="2" t="n">
        <v>2</v>
      </c>
      <c r="H221" s="2" t="n">
        <v>51.8</v>
      </c>
    </row>
    <row r="222" customFormat="false" ht="15" hidden="false" customHeight="false" outlineLevel="0" collapsed="false">
      <c r="A222" s="2" t="s">
        <v>239</v>
      </c>
      <c r="B222" s="2" t="s">
        <v>229</v>
      </c>
      <c r="C222" s="2" t="s">
        <v>24</v>
      </c>
      <c r="D222" s="2" t="n">
        <v>1.64</v>
      </c>
      <c r="E222" s="2" t="n">
        <v>0.555555555555556</v>
      </c>
      <c r="F222" s="2" t="n">
        <v>371</v>
      </c>
      <c r="G222" s="2" t="n">
        <v>3</v>
      </c>
      <c r="H222" s="2" t="n">
        <v>52</v>
      </c>
    </row>
    <row r="223" customFormat="false" ht="15" hidden="false" customHeight="false" outlineLevel="0" collapsed="false">
      <c r="A223" s="2" t="s">
        <v>240</v>
      </c>
      <c r="B223" s="2" t="s">
        <v>229</v>
      </c>
      <c r="C223" s="2" t="s">
        <v>24</v>
      </c>
      <c r="D223" s="2" t="n">
        <v>1.06</v>
      </c>
      <c r="E223" s="2" t="n">
        <v>1</v>
      </c>
      <c r="F223" s="2" t="n">
        <v>232.1</v>
      </c>
      <c r="G223" s="2" t="n">
        <v>2</v>
      </c>
      <c r="H223" s="2" t="n">
        <v>36.9</v>
      </c>
    </row>
    <row r="224" customFormat="false" ht="15" hidden="false" customHeight="false" outlineLevel="0" collapsed="false">
      <c r="A224" s="2" t="s">
        <v>241</v>
      </c>
      <c r="B224" s="2" t="s">
        <v>229</v>
      </c>
      <c r="C224" s="2" t="s">
        <v>12</v>
      </c>
      <c r="D224" s="2" t="n">
        <v>12.06</v>
      </c>
      <c r="E224" s="2" t="n">
        <v>0.821428571428571</v>
      </c>
      <c r="F224" s="2" t="n">
        <v>2197</v>
      </c>
      <c r="G224" s="2" t="n">
        <v>0</v>
      </c>
      <c r="H224" s="2" t="n">
        <v>47.8</v>
      </c>
    </row>
    <row r="225" customFormat="false" ht="15" hidden="false" customHeight="false" outlineLevel="0" collapsed="false">
      <c r="A225" s="2" t="s">
        <v>242</v>
      </c>
      <c r="B225" s="2" t="s">
        <v>229</v>
      </c>
      <c r="C225" s="2" t="s">
        <v>19</v>
      </c>
      <c r="D225" s="2" t="n">
        <v>4.2</v>
      </c>
      <c r="E225" s="2" t="n">
        <v>1</v>
      </c>
      <c r="F225" s="2" t="n">
        <v>1730.4</v>
      </c>
      <c r="G225" s="2" t="n">
        <v>1</v>
      </c>
      <c r="H225" s="2" t="n">
        <v>14.5</v>
      </c>
    </row>
    <row r="226" customFormat="false" ht="15" hidden="false" customHeight="false" outlineLevel="0" collapsed="false">
      <c r="A226" s="2" t="s">
        <v>243</v>
      </c>
      <c r="B226" s="2" t="s">
        <v>229</v>
      </c>
      <c r="C226" s="2" t="s">
        <v>14</v>
      </c>
      <c r="D226" s="2" t="n">
        <v>7.5</v>
      </c>
      <c r="E226" s="2" t="n">
        <v>0.947368421052632</v>
      </c>
      <c r="F226" s="2" t="n">
        <v>1941.5</v>
      </c>
      <c r="G226" s="2" t="n">
        <v>2</v>
      </c>
      <c r="H226" s="2" t="n">
        <v>30.2</v>
      </c>
    </row>
    <row r="227" customFormat="false" ht="15" hidden="false" customHeight="false" outlineLevel="0" collapsed="false">
      <c r="A227" s="2" t="s">
        <v>244</v>
      </c>
      <c r="B227" s="2" t="s">
        <v>229</v>
      </c>
      <c r="C227" s="2" t="s">
        <v>19</v>
      </c>
      <c r="D227" s="2" t="n">
        <v>5.69</v>
      </c>
      <c r="E227" s="2" t="n">
        <v>0.857142857142857</v>
      </c>
      <c r="F227" s="2" t="n">
        <v>1256.9</v>
      </c>
      <c r="G227" s="2" t="n">
        <v>0</v>
      </c>
      <c r="H227" s="2" t="n">
        <v>38.7</v>
      </c>
    </row>
    <row r="228" customFormat="false" ht="15" hidden="false" customHeight="false" outlineLevel="0" collapsed="false">
      <c r="A228" s="2" t="s">
        <v>245</v>
      </c>
      <c r="B228" s="2" t="s">
        <v>229</v>
      </c>
      <c r="C228" s="2" t="s">
        <v>14</v>
      </c>
      <c r="D228" s="2" t="n">
        <v>7.57</v>
      </c>
      <c r="E228" s="2"/>
      <c r="F228" s="2" t="n">
        <v>2902.8</v>
      </c>
      <c r="G228" s="2" t="n">
        <v>3</v>
      </c>
      <c r="H228" s="2" t="n">
        <v>39.4</v>
      </c>
    </row>
    <row r="229" customFormat="false" ht="15" hidden="false" customHeight="false" outlineLevel="0" collapsed="false">
      <c r="A229" s="2" t="s">
        <v>246</v>
      </c>
      <c r="B229" s="2" t="s">
        <v>229</v>
      </c>
      <c r="C229" s="2" t="s">
        <v>24</v>
      </c>
      <c r="D229" s="2" t="n">
        <v>1.49</v>
      </c>
      <c r="E229" s="2" t="n">
        <v>0.6</v>
      </c>
      <c r="F229" s="2" t="n">
        <v>498.3</v>
      </c>
      <c r="G229" s="2" t="n">
        <v>5</v>
      </c>
      <c r="H229" s="2" t="n">
        <v>49.3</v>
      </c>
    </row>
    <row r="230" customFormat="false" ht="15" hidden="false" customHeight="false" outlineLevel="0" collapsed="false">
      <c r="A230" s="2" t="s">
        <v>247</v>
      </c>
      <c r="B230" s="2" t="s">
        <v>229</v>
      </c>
      <c r="C230" s="2" t="s">
        <v>12</v>
      </c>
      <c r="D230" s="2" t="n">
        <v>13.67</v>
      </c>
      <c r="E230" s="2" t="n">
        <v>0.571428571428571</v>
      </c>
      <c r="F230" s="2" t="n">
        <v>828.3</v>
      </c>
      <c r="G230" s="2" t="n">
        <v>2</v>
      </c>
      <c r="H230" s="2" t="n">
        <v>68.8</v>
      </c>
    </row>
    <row r="231" customFormat="false" ht="15" hidden="false" customHeight="false" outlineLevel="0" collapsed="false">
      <c r="A231" s="2" t="s">
        <v>248</v>
      </c>
      <c r="B231" s="2" t="s">
        <v>229</v>
      </c>
      <c r="C231" s="2" t="s">
        <v>14</v>
      </c>
      <c r="D231" s="2" t="n">
        <v>10.84</v>
      </c>
      <c r="E231" s="2"/>
      <c r="F231" s="2" t="n">
        <v>0</v>
      </c>
      <c r="G231" s="2" t="n">
        <v>1</v>
      </c>
      <c r="H231" s="2" t="n">
        <v>57.4</v>
      </c>
    </row>
    <row r="232" customFormat="false" ht="15" hidden="false" customHeight="false" outlineLevel="0" collapsed="false">
      <c r="A232" s="2" t="s">
        <v>249</v>
      </c>
      <c r="B232" s="2" t="s">
        <v>229</v>
      </c>
      <c r="C232" s="2" t="s">
        <v>14</v>
      </c>
      <c r="D232" s="2" t="n">
        <v>7.67</v>
      </c>
      <c r="E232" s="2"/>
      <c r="F232" s="2" t="n">
        <v>0</v>
      </c>
      <c r="G232" s="2" t="n">
        <v>0</v>
      </c>
      <c r="H232" s="2" t="n">
        <v>57.4</v>
      </c>
    </row>
    <row r="233" customFormat="false" ht="15" hidden="false" customHeight="false" outlineLevel="0" collapsed="false">
      <c r="A233" s="2" t="s">
        <v>250</v>
      </c>
      <c r="B233" s="2" t="s">
        <v>229</v>
      </c>
      <c r="C233" s="2" t="s">
        <v>12</v>
      </c>
      <c r="D233" s="2" t="n">
        <v>12.82</v>
      </c>
      <c r="E233" s="2"/>
      <c r="F233" s="2" t="n">
        <v>0</v>
      </c>
      <c r="G233" s="2" t="n">
        <v>2</v>
      </c>
      <c r="H233" s="2" t="n">
        <v>57.4</v>
      </c>
    </row>
    <row r="234" customFormat="false" ht="15" hidden="false" customHeight="false" outlineLevel="0" collapsed="false">
      <c r="A234" s="2" t="s">
        <v>251</v>
      </c>
      <c r="B234" s="2" t="s">
        <v>229</v>
      </c>
      <c r="C234" s="2" t="s">
        <v>14</v>
      </c>
      <c r="D234" s="2" t="n">
        <v>11</v>
      </c>
      <c r="E234" s="2"/>
      <c r="F234" s="2" t="n">
        <v>0</v>
      </c>
      <c r="G234" s="2" t="n">
        <v>1</v>
      </c>
      <c r="H234" s="2" t="n">
        <v>55.4</v>
      </c>
    </row>
    <row r="235" customFormat="false" ht="15" hidden="false" customHeight="false" outlineLevel="0" collapsed="false">
      <c r="A235" s="2" t="s">
        <v>252</v>
      </c>
      <c r="B235" s="2" t="s">
        <v>229</v>
      </c>
      <c r="C235" s="2" t="s">
        <v>24</v>
      </c>
      <c r="D235" s="2" t="n">
        <v>2.68</v>
      </c>
      <c r="E235" s="2"/>
      <c r="F235" s="2" t="n">
        <v>0</v>
      </c>
      <c r="G235" s="2" t="n">
        <v>0</v>
      </c>
      <c r="H235" s="2" t="n">
        <v>55</v>
      </c>
    </row>
    <row r="236" customFormat="false" ht="15" hidden="false" customHeight="false" outlineLevel="0" collapsed="false">
      <c r="A236" s="2" t="s">
        <v>253</v>
      </c>
      <c r="B236" s="2" t="s">
        <v>229</v>
      </c>
      <c r="C236" s="2" t="s">
        <v>24</v>
      </c>
      <c r="D236" s="2" t="n">
        <v>2.07</v>
      </c>
      <c r="E236" s="2"/>
      <c r="F236" s="2" t="n">
        <v>0</v>
      </c>
      <c r="G236" s="2" t="n">
        <v>1</v>
      </c>
      <c r="H236" s="2" t="n">
        <v>44.9</v>
      </c>
    </row>
    <row r="237" customFormat="false" ht="15" hidden="false" customHeight="false" outlineLevel="0" collapsed="false">
      <c r="A237" s="2" t="s">
        <v>254</v>
      </c>
      <c r="B237" s="2" t="s">
        <v>229</v>
      </c>
      <c r="C237" s="2" t="s">
        <v>24</v>
      </c>
      <c r="D237" s="2" t="n">
        <v>2.4</v>
      </c>
      <c r="E237" s="2"/>
      <c r="F237" s="2" t="n">
        <v>688.3</v>
      </c>
      <c r="G237" s="2" t="n">
        <v>0</v>
      </c>
      <c r="H237" s="2" t="n">
        <v>54.8</v>
      </c>
    </row>
    <row r="238" customFormat="false" ht="15" hidden="false" customHeight="false" outlineLevel="0" collapsed="false">
      <c r="A238" s="2" t="s">
        <v>255</v>
      </c>
      <c r="B238" s="2" t="s">
        <v>229</v>
      </c>
      <c r="C238" s="2" t="s">
        <v>14</v>
      </c>
      <c r="D238" s="2" t="n">
        <v>11</v>
      </c>
      <c r="E238" s="2" t="n">
        <v>0.8</v>
      </c>
      <c r="F238" s="2" t="n">
        <v>307.2</v>
      </c>
      <c r="G238" s="2" t="n">
        <v>0</v>
      </c>
      <c r="H238" s="2" t="n">
        <v>68.3</v>
      </c>
    </row>
    <row r="239" customFormat="false" ht="15" hidden="false" customHeight="false" outlineLevel="0" collapsed="false">
      <c r="A239" s="2" t="s">
        <v>256</v>
      </c>
      <c r="B239" s="2" t="s">
        <v>229</v>
      </c>
      <c r="C239" s="2" t="s">
        <v>24</v>
      </c>
      <c r="D239" s="2" t="n">
        <v>2.01</v>
      </c>
      <c r="E239" s="2" t="n">
        <v>0.857142857142857</v>
      </c>
      <c r="F239" s="2" t="n">
        <v>429.3</v>
      </c>
      <c r="G239" s="2" t="n">
        <v>0</v>
      </c>
      <c r="H239" s="2" t="n">
        <v>41</v>
      </c>
    </row>
    <row r="240" customFormat="false" ht="15" hidden="false" customHeight="false" outlineLevel="0" collapsed="false">
      <c r="A240" s="2" t="s">
        <v>257</v>
      </c>
      <c r="B240" s="2" t="s">
        <v>229</v>
      </c>
      <c r="C240" s="2" t="s">
        <v>14</v>
      </c>
      <c r="D240" s="2" t="n">
        <v>10.78</v>
      </c>
      <c r="E240" s="2" t="n">
        <v>0.823529411764706</v>
      </c>
      <c r="F240" s="2" t="n">
        <v>797.9</v>
      </c>
      <c r="G240" s="2" t="n">
        <v>1</v>
      </c>
      <c r="H240" s="2" t="n">
        <v>68.8</v>
      </c>
    </row>
    <row r="241" customFormat="false" ht="15" hidden="false" customHeight="false" outlineLevel="0" collapsed="false">
      <c r="A241" s="2" t="s">
        <v>258</v>
      </c>
      <c r="B241" s="2" t="s">
        <v>229</v>
      </c>
      <c r="C241" s="2" t="s">
        <v>12</v>
      </c>
      <c r="D241" s="2" t="n">
        <v>14.12</v>
      </c>
      <c r="E241" s="2" t="n">
        <v>0.75</v>
      </c>
      <c r="F241" s="2" t="n">
        <v>260.1</v>
      </c>
      <c r="G241" s="2" t="n">
        <v>2</v>
      </c>
      <c r="H241" s="2" t="n">
        <v>54.6</v>
      </c>
    </row>
    <row r="242" customFormat="false" ht="15" hidden="false" customHeight="false" outlineLevel="0" collapsed="false">
      <c r="A242" s="2" t="s">
        <v>259</v>
      </c>
      <c r="B242" s="2" t="s">
        <v>229</v>
      </c>
      <c r="C242" s="2" t="s">
        <v>14</v>
      </c>
      <c r="D242" s="2" t="n">
        <v>8.29</v>
      </c>
      <c r="E242" s="2" t="n">
        <v>0.75</v>
      </c>
      <c r="F242" s="2" t="n">
        <v>466.7</v>
      </c>
      <c r="G242" s="2" t="n">
        <v>1</v>
      </c>
      <c r="H242" s="2" t="n">
        <v>67.3</v>
      </c>
    </row>
    <row r="243" customFormat="false" ht="15" hidden="false" customHeight="false" outlineLevel="0" collapsed="false">
      <c r="A243" s="2" t="s">
        <v>260</v>
      </c>
      <c r="B243" s="2" t="s">
        <v>229</v>
      </c>
      <c r="C243" s="2" t="s">
        <v>12</v>
      </c>
      <c r="D243" s="2" t="n">
        <v>12.99</v>
      </c>
      <c r="E243" s="2" t="n">
        <v>0.888888888888889</v>
      </c>
      <c r="F243" s="2" t="n">
        <v>2140.1</v>
      </c>
      <c r="G243" s="2" t="n">
        <v>0</v>
      </c>
      <c r="H243" s="2" t="n">
        <v>51.7</v>
      </c>
    </row>
    <row r="244" customFormat="false" ht="15" hidden="false" customHeight="false" outlineLevel="0" collapsed="false">
      <c r="A244" s="2" t="s">
        <v>261</v>
      </c>
      <c r="B244" s="2" t="s">
        <v>229</v>
      </c>
      <c r="C244" s="2" t="s">
        <v>24</v>
      </c>
      <c r="D244" s="2" t="n">
        <v>2.84</v>
      </c>
      <c r="E244" s="2"/>
      <c r="F244" s="2" t="n">
        <v>578</v>
      </c>
      <c r="G244" s="2" t="n">
        <v>2</v>
      </c>
      <c r="H244" s="2" t="n">
        <v>76.3</v>
      </c>
    </row>
    <row r="245" customFormat="false" ht="15" hidden="false" customHeight="false" outlineLevel="0" collapsed="false">
      <c r="A245" s="2" t="s">
        <v>262</v>
      </c>
      <c r="B245" s="2" t="s">
        <v>229</v>
      </c>
      <c r="C245" s="2" t="s">
        <v>24</v>
      </c>
      <c r="D245" s="2" t="n">
        <v>1.02</v>
      </c>
      <c r="E245" s="2"/>
      <c r="F245" s="2" t="n">
        <v>103.4</v>
      </c>
      <c r="G245" s="2" t="n">
        <v>3</v>
      </c>
      <c r="H245" s="2" t="n">
        <v>68.7</v>
      </c>
    </row>
    <row r="246" customFormat="false" ht="15" hidden="false" customHeight="false" outlineLevel="0" collapsed="false">
      <c r="A246" s="2" t="s">
        <v>263</v>
      </c>
      <c r="B246" s="2" t="s">
        <v>229</v>
      </c>
      <c r="C246" s="2" t="s">
        <v>19</v>
      </c>
      <c r="D246" s="2" t="n">
        <v>5.39</v>
      </c>
      <c r="E246" s="2"/>
      <c r="F246" s="2" t="n">
        <v>1165.3</v>
      </c>
      <c r="G246" s="2" t="n">
        <v>3</v>
      </c>
      <c r="H246" s="2" t="n">
        <v>70.6</v>
      </c>
    </row>
    <row r="247" customFormat="false" ht="15" hidden="false" customHeight="false" outlineLevel="0" collapsed="false">
      <c r="A247" s="2" t="s">
        <v>264</v>
      </c>
      <c r="B247" s="2" t="s">
        <v>229</v>
      </c>
      <c r="C247" s="2" t="s">
        <v>19</v>
      </c>
      <c r="D247" s="2" t="n">
        <v>4.16</v>
      </c>
      <c r="E247" s="2" t="n">
        <v>1</v>
      </c>
      <c r="F247" s="2" t="n">
        <v>262</v>
      </c>
      <c r="G247" s="2" t="n">
        <v>3</v>
      </c>
      <c r="H247" s="2" t="n">
        <v>53.1</v>
      </c>
    </row>
    <row r="248" customFormat="false" ht="15" hidden="false" customHeight="false" outlineLevel="0" collapsed="false">
      <c r="A248" s="2" t="s">
        <v>265</v>
      </c>
      <c r="B248" s="2" t="s">
        <v>229</v>
      </c>
      <c r="C248" s="2" t="s">
        <v>14</v>
      </c>
      <c r="D248" s="2" t="n">
        <v>9.15</v>
      </c>
      <c r="E248" s="2" t="n">
        <v>1</v>
      </c>
      <c r="F248" s="2" t="n">
        <v>1783.2</v>
      </c>
      <c r="G248" s="2" t="n">
        <v>1</v>
      </c>
      <c r="H248" s="2" t="n">
        <v>43.5</v>
      </c>
    </row>
    <row r="249" customFormat="false" ht="15" hidden="false" customHeight="false" outlineLevel="0" collapsed="false">
      <c r="A249" s="2" t="s">
        <v>266</v>
      </c>
      <c r="B249" s="2" t="s">
        <v>229</v>
      </c>
      <c r="C249" s="2" t="s">
        <v>14</v>
      </c>
      <c r="D249" s="2" t="n">
        <v>8.78</v>
      </c>
      <c r="E249" s="2" t="n">
        <v>1</v>
      </c>
      <c r="F249" s="2" t="n">
        <v>989</v>
      </c>
      <c r="G249" s="2" t="n">
        <v>2</v>
      </c>
      <c r="H249" s="2" t="n">
        <v>52.4</v>
      </c>
    </row>
    <row r="250" customFormat="false" ht="15" hidden="false" customHeight="false" outlineLevel="0" collapsed="false">
      <c r="A250" s="2" t="s">
        <v>267</v>
      </c>
      <c r="B250" s="2" t="s">
        <v>229</v>
      </c>
      <c r="C250" s="2" t="s">
        <v>12</v>
      </c>
      <c r="D250" s="2" t="n">
        <v>13.13</v>
      </c>
      <c r="E250" s="2" t="n">
        <v>0.882352941176471</v>
      </c>
      <c r="F250" s="2" t="n">
        <v>802.9</v>
      </c>
      <c r="G250" s="2" t="n">
        <v>2</v>
      </c>
      <c r="H250" s="2" t="n">
        <v>46.5</v>
      </c>
    </row>
    <row r="251" customFormat="false" ht="15" hidden="false" customHeight="false" outlineLevel="0" collapsed="false">
      <c r="A251" s="2" t="s">
        <v>268</v>
      </c>
      <c r="B251" s="2" t="s">
        <v>229</v>
      </c>
      <c r="C251" s="2" t="s">
        <v>19</v>
      </c>
      <c r="D251" s="2" t="n">
        <v>5.68</v>
      </c>
      <c r="E251" s="2" t="n">
        <v>0.75</v>
      </c>
      <c r="F251" s="2" t="n">
        <v>310</v>
      </c>
      <c r="G251" s="2" t="n">
        <v>5</v>
      </c>
      <c r="H251" s="2" t="n">
        <v>56.2</v>
      </c>
    </row>
    <row r="252" customFormat="false" ht="15" hidden="false" customHeight="false" outlineLevel="0" collapsed="false">
      <c r="A252" s="2" t="s">
        <v>269</v>
      </c>
      <c r="B252" s="2" t="s">
        <v>229</v>
      </c>
      <c r="C252" s="2" t="s">
        <v>12</v>
      </c>
      <c r="D252" s="2" t="n">
        <v>12.37</v>
      </c>
      <c r="E252" s="2" t="n">
        <v>0.923076923076923</v>
      </c>
      <c r="F252" s="2" t="n">
        <v>1145.7</v>
      </c>
      <c r="G252" s="2" t="n">
        <v>0</v>
      </c>
      <c r="H252" s="2" t="n">
        <v>40.2</v>
      </c>
    </row>
    <row r="253" customFormat="false" ht="15" hidden="false" customHeight="false" outlineLevel="0" collapsed="false">
      <c r="A253" s="2" t="s">
        <v>270</v>
      </c>
      <c r="B253" s="2" t="s">
        <v>229</v>
      </c>
      <c r="C253" s="2" t="s">
        <v>24</v>
      </c>
      <c r="D253" s="2" t="n">
        <v>1.02</v>
      </c>
      <c r="E253" s="2" t="n">
        <v>1</v>
      </c>
      <c r="F253" s="2" t="n">
        <v>261.9</v>
      </c>
      <c r="G253" s="2" t="n">
        <v>0</v>
      </c>
      <c r="H253" s="2" t="n">
        <v>38.1</v>
      </c>
    </row>
    <row r="254" customFormat="false" ht="15" hidden="false" customHeight="false" outlineLevel="0" collapsed="false">
      <c r="A254" s="2" t="s">
        <v>271</v>
      </c>
      <c r="B254" s="2" t="s">
        <v>229</v>
      </c>
      <c r="C254" s="2" t="s">
        <v>14</v>
      </c>
      <c r="D254" s="2" t="n">
        <v>9.72</v>
      </c>
      <c r="E254" s="2" t="n">
        <v>0.944444444444444</v>
      </c>
      <c r="F254" s="2" t="n">
        <v>2548.3</v>
      </c>
      <c r="G254" s="2" t="n">
        <v>5</v>
      </c>
      <c r="H254" s="2" t="n">
        <v>70.3</v>
      </c>
    </row>
    <row r="255" customFormat="false" ht="15" hidden="false" customHeight="false" outlineLevel="0" collapsed="false">
      <c r="A255" s="2" t="s">
        <v>272</v>
      </c>
      <c r="B255" s="2" t="s">
        <v>229</v>
      </c>
      <c r="C255" s="2" t="s">
        <v>24</v>
      </c>
      <c r="D255" s="2" t="n">
        <v>2.63</v>
      </c>
      <c r="E255" s="2" t="n">
        <v>0.888888888888889</v>
      </c>
      <c r="F255" s="2" t="n">
        <v>447.4</v>
      </c>
      <c r="G255" s="2" t="n">
        <v>4</v>
      </c>
      <c r="H255" s="2" t="n">
        <v>56.9</v>
      </c>
    </row>
    <row r="256" customFormat="false" ht="15" hidden="false" customHeight="false" outlineLevel="0" collapsed="false">
      <c r="A256" s="2" t="s">
        <v>273</v>
      </c>
      <c r="B256" s="2" t="s">
        <v>229</v>
      </c>
      <c r="C256" s="2" t="s">
        <v>14</v>
      </c>
      <c r="D256" s="2" t="n">
        <v>7.88</v>
      </c>
      <c r="E256" s="2"/>
      <c r="F256" s="2" t="n">
        <v>491</v>
      </c>
      <c r="G256" s="2" t="n">
        <v>0</v>
      </c>
      <c r="H256" s="2" t="n">
        <v>66.4</v>
      </c>
    </row>
    <row r="257" customFormat="false" ht="15" hidden="false" customHeight="false" outlineLevel="0" collapsed="false">
      <c r="A257" s="2" t="s">
        <v>274</v>
      </c>
      <c r="B257" s="2" t="s">
        <v>229</v>
      </c>
      <c r="C257" s="2" t="s">
        <v>62</v>
      </c>
      <c r="D257" s="2" t="n">
        <v>5.55</v>
      </c>
      <c r="E257" s="2" t="n">
        <v>0.7</v>
      </c>
      <c r="F257" s="2" t="n">
        <v>1035.4</v>
      </c>
      <c r="G257" s="2" t="n">
        <v>0</v>
      </c>
      <c r="H257" s="2" t="n">
        <v>54.4</v>
      </c>
    </row>
    <row r="258" customFormat="false" ht="15" hidden="false" customHeight="false" outlineLevel="0" collapsed="false">
      <c r="A258" s="2" t="s">
        <v>275</v>
      </c>
      <c r="B258" s="2" t="s">
        <v>229</v>
      </c>
      <c r="C258" s="2" t="s">
        <v>62</v>
      </c>
      <c r="D258" s="2" t="n">
        <v>14.09</v>
      </c>
      <c r="E258" s="2" t="n">
        <v>0.866666666666667</v>
      </c>
      <c r="F258" s="2" t="n">
        <v>3650.3</v>
      </c>
      <c r="G258" s="2" t="n">
        <v>5</v>
      </c>
      <c r="H258" s="2" t="n">
        <v>37.6</v>
      </c>
    </row>
    <row r="259" customFormat="false" ht="15" hidden="false" customHeight="false" outlineLevel="0" collapsed="false">
      <c r="A259" s="2" t="s">
        <v>276</v>
      </c>
      <c r="B259" s="2" t="s">
        <v>229</v>
      </c>
      <c r="C259" s="2" t="s">
        <v>62</v>
      </c>
      <c r="D259" s="2" t="n">
        <v>14.58</v>
      </c>
      <c r="E259" s="2" t="n">
        <v>0.785714285714286</v>
      </c>
      <c r="F259" s="2" t="n">
        <v>294.5</v>
      </c>
      <c r="G259" s="2" t="n">
        <v>1</v>
      </c>
      <c r="H259" s="2" t="n">
        <v>71.5</v>
      </c>
    </row>
    <row r="260" customFormat="false" ht="15" hidden="false" customHeight="false" outlineLevel="0" collapsed="false">
      <c r="A260" s="2" t="s">
        <v>277</v>
      </c>
      <c r="B260" s="2" t="s">
        <v>229</v>
      </c>
      <c r="C260" s="2" t="s">
        <v>70</v>
      </c>
      <c r="D260" s="2" t="n">
        <v>2</v>
      </c>
      <c r="E260" s="2" t="n">
        <v>0.909090909090909</v>
      </c>
      <c r="F260" s="2" t="n">
        <v>512.4</v>
      </c>
      <c r="G260" s="2" t="n">
        <v>0</v>
      </c>
      <c r="H260" s="2" t="n">
        <v>27.5</v>
      </c>
    </row>
    <row r="261" customFormat="false" ht="15" hidden="false" customHeight="false" outlineLevel="0" collapsed="false">
      <c r="A261" s="2" t="s">
        <v>278</v>
      </c>
      <c r="B261" s="2" t="s">
        <v>229</v>
      </c>
      <c r="C261" s="2" t="s">
        <v>70</v>
      </c>
      <c r="D261" s="2" t="n">
        <v>2.48</v>
      </c>
      <c r="E261" s="2"/>
      <c r="F261" s="2" t="n">
        <v>565.5</v>
      </c>
      <c r="G261" s="2" t="n">
        <v>0</v>
      </c>
      <c r="H261" s="2" t="n">
        <v>65.1</v>
      </c>
    </row>
    <row r="262" customFormat="false" ht="15" hidden="false" customHeight="false" outlineLevel="0" collapsed="false">
      <c r="A262" s="2" t="s">
        <v>279</v>
      </c>
      <c r="B262" s="2" t="s">
        <v>229</v>
      </c>
      <c r="C262" s="2" t="s">
        <v>16</v>
      </c>
      <c r="D262" s="2" t="n">
        <v>3.35</v>
      </c>
      <c r="E262" s="2" t="n">
        <v>0.5</v>
      </c>
      <c r="F262" s="2" t="n">
        <v>1101.6</v>
      </c>
      <c r="G262" s="2" t="n">
        <v>1</v>
      </c>
      <c r="H262" s="2" t="n">
        <v>54</v>
      </c>
    </row>
    <row r="263" customFormat="false" ht="15" hidden="false" customHeight="false" outlineLevel="0" collapsed="false">
      <c r="A263" s="2" t="s">
        <v>280</v>
      </c>
      <c r="B263" s="2" t="s">
        <v>229</v>
      </c>
      <c r="C263" s="2" t="s">
        <v>62</v>
      </c>
      <c r="D263" s="2" t="n">
        <v>6.91</v>
      </c>
      <c r="E263" s="2"/>
      <c r="F263" s="2" t="n">
        <v>548</v>
      </c>
      <c r="G263" s="2" t="n">
        <v>3</v>
      </c>
      <c r="H263" s="2" t="n">
        <v>46.7</v>
      </c>
    </row>
    <row r="264" customFormat="false" ht="15" hidden="false" customHeight="false" outlineLevel="0" collapsed="false">
      <c r="A264" s="2" t="s">
        <v>281</v>
      </c>
      <c r="B264" s="2" t="s">
        <v>229</v>
      </c>
      <c r="C264" s="2" t="s">
        <v>62</v>
      </c>
      <c r="D264" s="2" t="n">
        <v>18.22</v>
      </c>
      <c r="E264" s="2" t="n">
        <v>0.8125</v>
      </c>
      <c r="F264" s="2" t="n">
        <v>2472.7</v>
      </c>
      <c r="G264" s="2" t="n">
        <v>3</v>
      </c>
      <c r="H264" s="2" t="n">
        <v>53.6</v>
      </c>
    </row>
    <row r="265" customFormat="false" ht="15" hidden="false" customHeight="false" outlineLevel="0" collapsed="false">
      <c r="A265" s="2" t="s">
        <v>282</v>
      </c>
      <c r="B265" s="2" t="s">
        <v>229</v>
      </c>
      <c r="C265" s="2" t="s">
        <v>70</v>
      </c>
      <c r="D265" s="2" t="n">
        <v>2.7</v>
      </c>
      <c r="E265" s="2" t="n">
        <v>1</v>
      </c>
      <c r="F265" s="2" t="n">
        <v>682.2</v>
      </c>
      <c r="G265" s="2" t="n">
        <v>4</v>
      </c>
      <c r="H265" s="2" t="n">
        <v>36.6</v>
      </c>
    </row>
    <row r="266" customFormat="false" ht="15" hidden="false" customHeight="false" outlineLevel="0" collapsed="false">
      <c r="A266" s="2" t="s">
        <v>283</v>
      </c>
      <c r="B266" s="2" t="s">
        <v>229</v>
      </c>
      <c r="C266" s="2" t="s">
        <v>62</v>
      </c>
      <c r="D266" s="2" t="n">
        <v>15.17</v>
      </c>
      <c r="E266" s="2" t="n">
        <v>0.714285714285714</v>
      </c>
      <c r="F266" s="2" t="n">
        <v>2798.9</v>
      </c>
      <c r="G266" s="2" t="n">
        <v>0</v>
      </c>
      <c r="H266" s="2" t="n">
        <v>55.9</v>
      </c>
    </row>
    <row r="267" customFormat="false" ht="15" hidden="false" customHeight="false" outlineLevel="0" collapsed="false">
      <c r="A267" s="2" t="s">
        <v>284</v>
      </c>
      <c r="B267" s="2" t="s">
        <v>229</v>
      </c>
      <c r="C267" s="2" t="s">
        <v>16</v>
      </c>
      <c r="D267" s="2" t="n">
        <v>4.77</v>
      </c>
      <c r="E267" s="2"/>
      <c r="F267" s="2" t="n">
        <v>436.8</v>
      </c>
      <c r="G267" s="2" t="n">
        <v>2</v>
      </c>
      <c r="H267" s="2" t="n">
        <v>33.5</v>
      </c>
    </row>
    <row r="268" customFormat="false" ht="15" hidden="false" customHeight="false" outlineLevel="0" collapsed="false">
      <c r="A268" s="2" t="s">
        <v>285</v>
      </c>
      <c r="B268" s="2" t="s">
        <v>229</v>
      </c>
      <c r="C268" s="2" t="s">
        <v>16</v>
      </c>
      <c r="D268" s="2" t="n">
        <v>4.35</v>
      </c>
      <c r="E268" s="2" t="n">
        <v>0.882352941176471</v>
      </c>
      <c r="F268" s="2" t="n">
        <v>319.9</v>
      </c>
      <c r="G268" s="2" t="n">
        <v>0</v>
      </c>
      <c r="H268" s="2" t="n">
        <v>53.5</v>
      </c>
    </row>
    <row r="269" customFormat="false" ht="15" hidden="false" customHeight="false" outlineLevel="0" collapsed="false">
      <c r="A269" s="2" t="s">
        <v>286</v>
      </c>
      <c r="B269" s="2" t="s">
        <v>229</v>
      </c>
      <c r="C269" s="2" t="s">
        <v>62</v>
      </c>
      <c r="D269" s="2" t="n">
        <v>9.84</v>
      </c>
      <c r="E269" s="2" t="n">
        <v>1</v>
      </c>
      <c r="F269" s="2" t="n">
        <v>675.2</v>
      </c>
      <c r="G269" s="2" t="n">
        <v>0</v>
      </c>
      <c r="H269" s="2" t="n">
        <v>53.9</v>
      </c>
    </row>
    <row r="270" customFormat="false" ht="15" hidden="false" customHeight="false" outlineLevel="0" collapsed="false">
      <c r="A270" s="2" t="s">
        <v>287</v>
      </c>
      <c r="B270" s="2" t="s">
        <v>229</v>
      </c>
      <c r="C270" s="2" t="s">
        <v>16</v>
      </c>
      <c r="D270" s="2" t="n">
        <v>3.24</v>
      </c>
      <c r="E270" s="2"/>
      <c r="F270" s="2" t="n">
        <v>299.4</v>
      </c>
      <c r="G270" s="2" t="n">
        <v>1</v>
      </c>
      <c r="H270" s="2" t="n">
        <v>47.2</v>
      </c>
    </row>
    <row r="271" customFormat="false" ht="15" hidden="false" customHeight="false" outlineLevel="0" collapsed="false">
      <c r="A271" s="2" t="s">
        <v>288</v>
      </c>
      <c r="B271" s="2" t="s">
        <v>229</v>
      </c>
      <c r="C271" s="2" t="s">
        <v>16</v>
      </c>
      <c r="D271" s="2" t="n">
        <v>4.03</v>
      </c>
      <c r="E271" s="2" t="n">
        <v>0.923076923076923</v>
      </c>
      <c r="F271" s="2" t="n">
        <v>523.3</v>
      </c>
      <c r="G271" s="2" t="n">
        <v>2</v>
      </c>
      <c r="H271" s="2" t="n">
        <v>57.1</v>
      </c>
    </row>
    <row r="272" customFormat="false" ht="15" hidden="false" customHeight="false" outlineLevel="0" collapsed="false">
      <c r="A272" s="2" t="s">
        <v>289</v>
      </c>
      <c r="B272" s="2" t="s">
        <v>229</v>
      </c>
      <c r="C272" s="2" t="s">
        <v>62</v>
      </c>
      <c r="D272" s="2" t="n">
        <v>5.7</v>
      </c>
      <c r="E272" s="2" t="n">
        <v>0.666666666666667</v>
      </c>
      <c r="F272" s="2" t="n">
        <v>446.7</v>
      </c>
      <c r="G272" s="2" t="n">
        <v>0</v>
      </c>
      <c r="H272" s="2" t="n">
        <v>70.1</v>
      </c>
    </row>
    <row r="273" customFormat="false" ht="15" hidden="false" customHeight="false" outlineLevel="0" collapsed="false">
      <c r="A273" s="2" t="s">
        <v>290</v>
      </c>
      <c r="B273" s="2" t="s">
        <v>229</v>
      </c>
      <c r="C273" s="2" t="s">
        <v>16</v>
      </c>
      <c r="D273" s="2" t="n">
        <v>3.63</v>
      </c>
      <c r="E273" s="2" t="n">
        <v>0.727272727272727</v>
      </c>
      <c r="F273" s="2" t="n">
        <v>274.8</v>
      </c>
      <c r="G273" s="2" t="n">
        <v>3</v>
      </c>
      <c r="H273" s="2" t="n">
        <v>58.2</v>
      </c>
    </row>
    <row r="274" customFormat="false" ht="15" hidden="false" customHeight="false" outlineLevel="0" collapsed="false">
      <c r="A274" s="2" t="s">
        <v>291</v>
      </c>
      <c r="B274" s="2" t="s">
        <v>229</v>
      </c>
      <c r="C274" s="2" t="s">
        <v>16</v>
      </c>
      <c r="D274" s="2" t="n">
        <v>4.76</v>
      </c>
      <c r="E274" s="2" t="n">
        <v>0.875</v>
      </c>
      <c r="F274" s="2" t="n">
        <v>367.2</v>
      </c>
      <c r="G274" s="2" t="n">
        <v>0</v>
      </c>
      <c r="H274" s="2" t="n">
        <v>49.7</v>
      </c>
    </row>
    <row r="275" customFormat="false" ht="15" hidden="false" customHeight="false" outlineLevel="0" collapsed="false">
      <c r="A275" s="2" t="s">
        <v>292</v>
      </c>
      <c r="B275" s="2" t="s">
        <v>229</v>
      </c>
      <c r="C275" s="2" t="s">
        <v>62</v>
      </c>
      <c r="D275" s="2" t="n">
        <v>8.38</v>
      </c>
      <c r="E275" s="2"/>
      <c r="F275" s="2" t="n">
        <v>212.7</v>
      </c>
      <c r="G275" s="2" t="n">
        <v>0</v>
      </c>
      <c r="H275" s="2" t="n">
        <v>52.2</v>
      </c>
    </row>
    <row r="276" customFormat="false" ht="15" hidden="false" customHeight="false" outlineLevel="0" collapsed="false">
      <c r="A276" s="2" t="s">
        <v>293</v>
      </c>
      <c r="B276" s="2" t="s">
        <v>229</v>
      </c>
      <c r="C276" s="2" t="s">
        <v>62</v>
      </c>
      <c r="D276" s="2" t="n">
        <v>18.75</v>
      </c>
      <c r="E276" s="2" t="n">
        <v>1</v>
      </c>
      <c r="F276" s="2" t="n">
        <v>208.1</v>
      </c>
      <c r="G276" s="2" t="n">
        <v>0</v>
      </c>
      <c r="H276" s="2" t="n">
        <v>33.3</v>
      </c>
    </row>
    <row r="277" customFormat="false" ht="15" hidden="false" customHeight="false" outlineLevel="0" collapsed="false">
      <c r="A277" s="2" t="s">
        <v>294</v>
      </c>
      <c r="B277" s="2" t="s">
        <v>229</v>
      </c>
      <c r="C277" s="2" t="s">
        <v>16</v>
      </c>
      <c r="D277" s="2" t="n">
        <v>3.13</v>
      </c>
      <c r="E277" s="2"/>
      <c r="F277" s="2" t="n">
        <v>0</v>
      </c>
      <c r="G277" s="2" t="n">
        <v>6</v>
      </c>
      <c r="H277" s="2" t="n">
        <v>57.4</v>
      </c>
    </row>
    <row r="278" customFormat="false" ht="15" hidden="false" customHeight="false" outlineLevel="0" collapsed="false">
      <c r="A278" s="2" t="s">
        <v>295</v>
      </c>
      <c r="B278" s="2" t="s">
        <v>229</v>
      </c>
      <c r="C278" s="2" t="s">
        <v>70</v>
      </c>
      <c r="D278" s="2" t="n">
        <v>1.86</v>
      </c>
      <c r="E278" s="2"/>
      <c r="F278" s="2" t="n">
        <v>0</v>
      </c>
      <c r="G278" s="2" t="n">
        <v>2</v>
      </c>
      <c r="H278" s="2" t="n">
        <v>46.4</v>
      </c>
    </row>
    <row r="279" customFormat="false" ht="15" hidden="false" customHeight="false" outlineLevel="0" collapsed="false">
      <c r="A279" s="2" t="s">
        <v>296</v>
      </c>
      <c r="B279" s="2" t="s">
        <v>229</v>
      </c>
      <c r="C279" s="2" t="s">
        <v>62</v>
      </c>
      <c r="D279" s="2" t="n">
        <v>19.03</v>
      </c>
      <c r="E279" s="2"/>
      <c r="F279" s="2" t="n">
        <v>0</v>
      </c>
      <c r="G279" s="2" t="n">
        <v>4</v>
      </c>
      <c r="H279" s="2" t="n">
        <v>46.1</v>
      </c>
    </row>
    <row r="280" customFormat="false" ht="15" hidden="false" customHeight="false" outlineLevel="0" collapsed="false">
      <c r="A280" s="2" t="s">
        <v>297</v>
      </c>
      <c r="B280" s="2" t="s">
        <v>229</v>
      </c>
      <c r="C280" s="2" t="s">
        <v>70</v>
      </c>
      <c r="D280" s="2" t="n">
        <v>1.95</v>
      </c>
      <c r="E280" s="2"/>
      <c r="F280" s="2" t="n">
        <v>0</v>
      </c>
      <c r="G280" s="2" t="n">
        <v>4</v>
      </c>
      <c r="H280" s="2" t="n">
        <v>45.7</v>
      </c>
    </row>
    <row r="281" customFormat="false" ht="15" hidden="false" customHeight="false" outlineLevel="0" collapsed="false">
      <c r="A281" s="2" t="s">
        <v>298</v>
      </c>
      <c r="B281" s="2" t="s">
        <v>229</v>
      </c>
      <c r="C281" s="2" t="s">
        <v>62</v>
      </c>
      <c r="D281" s="2" t="n">
        <v>17.32</v>
      </c>
      <c r="E281" s="2"/>
      <c r="F281" s="2" t="n">
        <v>0</v>
      </c>
      <c r="G281" s="2" t="n">
        <v>1</v>
      </c>
      <c r="H281" s="2" t="n">
        <v>55.4</v>
      </c>
    </row>
    <row r="282" customFormat="false" ht="15" hidden="false" customHeight="false" outlineLevel="0" collapsed="false">
      <c r="A282" s="2" t="s">
        <v>299</v>
      </c>
      <c r="B282" s="2" t="s">
        <v>229</v>
      </c>
      <c r="C282" s="2" t="s">
        <v>70</v>
      </c>
      <c r="D282" s="2" t="n">
        <v>1.15</v>
      </c>
      <c r="E282" s="2"/>
      <c r="F282" s="2" t="n">
        <v>0</v>
      </c>
      <c r="G282" s="2" t="n">
        <v>0</v>
      </c>
      <c r="H282" s="2" t="n">
        <v>57.4</v>
      </c>
    </row>
    <row r="283" customFormat="false" ht="15" hidden="false" customHeight="false" outlineLevel="0" collapsed="false">
      <c r="A283" s="2" t="s">
        <v>300</v>
      </c>
      <c r="B283" s="2" t="s">
        <v>229</v>
      </c>
      <c r="C283" s="2" t="s">
        <v>16</v>
      </c>
      <c r="D283" s="2" t="n">
        <v>3.19</v>
      </c>
      <c r="E283" s="2"/>
      <c r="F283" s="2" t="n">
        <v>0</v>
      </c>
      <c r="G283" s="2" t="n">
        <v>0</v>
      </c>
      <c r="H283" s="2" t="n">
        <v>48.1</v>
      </c>
    </row>
    <row r="284" customFormat="false" ht="15" hidden="false" customHeight="false" outlineLevel="0" collapsed="false">
      <c r="A284" s="2" t="s">
        <v>301</v>
      </c>
      <c r="B284" s="2" t="s">
        <v>229</v>
      </c>
      <c r="C284" s="2" t="s">
        <v>70</v>
      </c>
      <c r="D284" s="2" t="n">
        <v>2.95</v>
      </c>
      <c r="E284" s="2"/>
      <c r="F284" s="2" t="n">
        <v>0</v>
      </c>
      <c r="G284" s="2" t="n">
        <v>0</v>
      </c>
      <c r="H284" s="2" t="n">
        <v>58.9</v>
      </c>
    </row>
    <row r="285" customFormat="false" ht="15" hidden="false" customHeight="false" outlineLevel="0" collapsed="false">
      <c r="A285" s="2" t="s">
        <v>302</v>
      </c>
      <c r="B285" s="2" t="s">
        <v>229</v>
      </c>
      <c r="C285" s="2" t="s">
        <v>16</v>
      </c>
      <c r="D285" s="2" t="n">
        <v>4.78</v>
      </c>
      <c r="E285" s="2"/>
      <c r="F285" s="2" t="n">
        <v>0</v>
      </c>
      <c r="G285" s="2" t="n">
        <v>3</v>
      </c>
      <c r="H285" s="2" t="n">
        <v>48.1</v>
      </c>
    </row>
    <row r="286" customFormat="false" ht="15" hidden="false" customHeight="false" outlineLevel="0" collapsed="false">
      <c r="A286" s="2" t="s">
        <v>303</v>
      </c>
      <c r="B286" s="2" t="s">
        <v>229</v>
      </c>
      <c r="C286" s="2" t="s">
        <v>62</v>
      </c>
      <c r="D286" s="2" t="n">
        <v>5.93</v>
      </c>
      <c r="E286" s="2"/>
      <c r="F286" s="2" t="n">
        <v>0</v>
      </c>
      <c r="G286" s="2" t="n">
        <v>2</v>
      </c>
      <c r="H286" s="2" t="n">
        <v>46.4</v>
      </c>
    </row>
    <row r="287" customFormat="false" ht="15" hidden="false" customHeight="false" outlineLevel="0" collapsed="false">
      <c r="A287" s="2" t="s">
        <v>304</v>
      </c>
      <c r="B287" s="2" t="s">
        <v>229</v>
      </c>
      <c r="C287" s="2" t="s">
        <v>70</v>
      </c>
      <c r="D287" s="2" t="n">
        <v>2.22</v>
      </c>
      <c r="E287" s="2"/>
      <c r="F287" s="2" t="n">
        <v>0</v>
      </c>
      <c r="G287" s="2" t="n">
        <v>1</v>
      </c>
      <c r="H287" s="2" t="n">
        <v>48.1</v>
      </c>
    </row>
    <row r="288" customFormat="false" ht="15" hidden="false" customHeight="false" outlineLevel="0" collapsed="false">
      <c r="A288" s="2" t="s">
        <v>305</v>
      </c>
      <c r="B288" s="2" t="s">
        <v>229</v>
      </c>
      <c r="C288" s="2" t="s">
        <v>70</v>
      </c>
      <c r="D288" s="2" t="n">
        <v>1.11</v>
      </c>
      <c r="E288" s="2"/>
      <c r="F288" s="2" t="n">
        <v>0</v>
      </c>
      <c r="G288" s="2" t="n">
        <v>0</v>
      </c>
      <c r="H288" s="2" t="n">
        <v>58.6</v>
      </c>
    </row>
    <row r="289" customFormat="false" ht="15" hidden="false" customHeight="false" outlineLevel="0" collapsed="false">
      <c r="A289" s="2" t="s">
        <v>306</v>
      </c>
      <c r="B289" s="2" t="s">
        <v>229</v>
      </c>
      <c r="C289" s="2" t="s">
        <v>62</v>
      </c>
      <c r="D289" s="2" t="n">
        <v>11.03</v>
      </c>
      <c r="E289" s="2"/>
      <c r="F289" s="2" t="n">
        <v>0</v>
      </c>
      <c r="G289" s="2" t="n">
        <v>0</v>
      </c>
      <c r="H289" s="2" t="n">
        <v>48.1</v>
      </c>
    </row>
    <row r="290" customFormat="false" ht="15" hidden="false" customHeight="false" outlineLevel="0" collapsed="false">
      <c r="A290" s="2" t="s">
        <v>307</v>
      </c>
      <c r="B290" s="2" t="s">
        <v>229</v>
      </c>
      <c r="C290" s="2" t="s">
        <v>16</v>
      </c>
      <c r="D290" s="2" t="n">
        <v>4.73</v>
      </c>
      <c r="E290" s="2"/>
      <c r="F290" s="2" t="n">
        <v>0</v>
      </c>
      <c r="G290" s="2" t="n">
        <v>1</v>
      </c>
      <c r="H290" s="2" t="n">
        <v>48.1</v>
      </c>
    </row>
    <row r="291" customFormat="false" ht="15" hidden="false" customHeight="false" outlineLevel="0" collapsed="false">
      <c r="A291" s="2" t="s">
        <v>308</v>
      </c>
      <c r="B291" s="2" t="s">
        <v>229</v>
      </c>
      <c r="C291" s="2" t="s">
        <v>16</v>
      </c>
      <c r="D291" s="2" t="n">
        <v>3.91</v>
      </c>
      <c r="E291" s="2"/>
      <c r="F291" s="2" t="n">
        <v>0</v>
      </c>
      <c r="G291" s="2" t="n">
        <v>4</v>
      </c>
      <c r="H291" s="2" t="n">
        <v>46.1</v>
      </c>
    </row>
    <row r="292" customFormat="false" ht="15" hidden="false" customHeight="false" outlineLevel="0" collapsed="false">
      <c r="A292" s="2" t="s">
        <v>309</v>
      </c>
      <c r="B292" s="2" t="s">
        <v>229</v>
      </c>
      <c r="C292" s="2" t="s">
        <v>16</v>
      </c>
      <c r="D292" s="2" t="n">
        <v>4.24</v>
      </c>
      <c r="E292" s="2"/>
      <c r="F292" s="2" t="n">
        <v>0</v>
      </c>
      <c r="G292" s="2" t="n">
        <v>0</v>
      </c>
      <c r="H292" s="2" t="n">
        <v>57.4</v>
      </c>
    </row>
    <row r="293" customFormat="false" ht="15" hidden="false" customHeight="false" outlineLevel="0" collapsed="false">
      <c r="A293" s="2" t="s">
        <v>310</v>
      </c>
      <c r="B293" s="2" t="s">
        <v>229</v>
      </c>
      <c r="C293" s="2" t="s">
        <v>16</v>
      </c>
      <c r="D293" s="2" t="n">
        <v>4.35</v>
      </c>
      <c r="E293" s="2"/>
      <c r="F293" s="2" t="n">
        <v>0</v>
      </c>
      <c r="G293" s="2" t="n">
        <v>4</v>
      </c>
      <c r="H293" s="2" t="n">
        <v>48.1</v>
      </c>
    </row>
    <row r="294" customFormat="false" ht="15" hidden="false" customHeight="false" outlineLevel="0" collapsed="false">
      <c r="A294" s="2" t="s">
        <v>311</v>
      </c>
      <c r="B294" s="2" t="s">
        <v>229</v>
      </c>
      <c r="C294" s="2" t="s">
        <v>16</v>
      </c>
      <c r="D294" s="2" t="n">
        <v>4.18</v>
      </c>
      <c r="E294" s="2"/>
      <c r="F294" s="2" t="n">
        <v>0</v>
      </c>
      <c r="G294" s="2" t="n">
        <v>1</v>
      </c>
      <c r="H294" s="2" t="n">
        <v>48.1</v>
      </c>
    </row>
    <row r="295" customFormat="false" ht="15" hidden="false" customHeight="false" outlineLevel="0" collapsed="false">
      <c r="A295" s="2" t="s">
        <v>312</v>
      </c>
      <c r="B295" s="2" t="s">
        <v>229</v>
      </c>
      <c r="C295" s="2" t="s">
        <v>70</v>
      </c>
      <c r="D295" s="2" t="n">
        <v>2.43</v>
      </c>
      <c r="E295" s="2"/>
      <c r="F295" s="2" t="n">
        <v>0</v>
      </c>
      <c r="G295" s="2" t="n">
        <v>6</v>
      </c>
      <c r="H295" s="2" t="n">
        <v>48.1</v>
      </c>
    </row>
    <row r="296" customFormat="false" ht="15" hidden="false" customHeight="false" outlineLevel="0" collapsed="false">
      <c r="A296" s="2" t="s">
        <v>313</v>
      </c>
      <c r="B296" s="2" t="s">
        <v>229</v>
      </c>
      <c r="C296" s="2" t="s">
        <v>62</v>
      </c>
      <c r="D296" s="2" t="n">
        <v>18.57</v>
      </c>
      <c r="E296" s="2"/>
      <c r="F296" s="2" t="n">
        <v>0</v>
      </c>
      <c r="G296" s="2" t="n">
        <v>4</v>
      </c>
      <c r="H296" s="2" t="n">
        <v>46.6</v>
      </c>
    </row>
    <row r="297" customFormat="false" ht="15" hidden="false" customHeight="false" outlineLevel="0" collapsed="false">
      <c r="A297" s="2" t="s">
        <v>314</v>
      </c>
      <c r="B297" s="2" t="s">
        <v>229</v>
      </c>
      <c r="C297" s="2" t="s">
        <v>16</v>
      </c>
      <c r="D297" s="2" t="n">
        <v>3.71</v>
      </c>
      <c r="E297" s="2"/>
      <c r="F297" s="2" t="n">
        <v>0</v>
      </c>
      <c r="G297" s="2" t="n">
        <v>0</v>
      </c>
      <c r="H297" s="2" t="n">
        <v>48.1</v>
      </c>
    </row>
    <row r="298" customFormat="false" ht="15" hidden="false" customHeight="false" outlineLevel="0" collapsed="false">
      <c r="A298" s="2" t="s">
        <v>315</v>
      </c>
      <c r="B298" s="2" t="s">
        <v>229</v>
      </c>
      <c r="C298" s="2" t="s">
        <v>16</v>
      </c>
      <c r="D298" s="2" t="n">
        <v>3.37</v>
      </c>
      <c r="E298" s="2"/>
      <c r="F298" s="2" t="n">
        <v>0</v>
      </c>
      <c r="G298" s="2" t="n">
        <v>1</v>
      </c>
      <c r="H298" s="2" t="n">
        <v>57.4</v>
      </c>
    </row>
    <row r="299" customFormat="false" ht="15" hidden="false" customHeight="false" outlineLevel="0" collapsed="false">
      <c r="A299" s="2" t="s">
        <v>316</v>
      </c>
      <c r="B299" s="2" t="s">
        <v>229</v>
      </c>
      <c r="C299" s="2" t="s">
        <v>70</v>
      </c>
      <c r="D299" s="2" t="n">
        <v>1.26</v>
      </c>
      <c r="E299" s="2"/>
      <c r="F299" s="2" t="n">
        <v>0</v>
      </c>
      <c r="G299" s="2" t="n">
        <v>0</v>
      </c>
      <c r="H299" s="2" t="n">
        <v>48.1</v>
      </c>
    </row>
    <row r="300" customFormat="false" ht="15" hidden="false" customHeight="false" outlineLevel="0" collapsed="false">
      <c r="A300" s="2" t="s">
        <v>317</v>
      </c>
      <c r="B300" s="2" t="s">
        <v>229</v>
      </c>
      <c r="C300" s="2" t="s">
        <v>16</v>
      </c>
      <c r="D300" s="2" t="n">
        <v>4.3</v>
      </c>
      <c r="E300" s="2"/>
      <c r="F300" s="2" t="n">
        <v>0</v>
      </c>
      <c r="G300" s="2" t="n">
        <v>1</v>
      </c>
      <c r="H300" s="2" t="n">
        <v>48.1</v>
      </c>
    </row>
    <row r="301" customFormat="false" ht="15" hidden="false" customHeight="false" outlineLevel="0" collapsed="false">
      <c r="A301" s="2" t="s">
        <v>318</v>
      </c>
      <c r="B301" s="2" t="s">
        <v>229</v>
      </c>
      <c r="C301" s="2" t="s">
        <v>16</v>
      </c>
      <c r="D301" s="2" t="n">
        <v>4.08</v>
      </c>
      <c r="E301" s="2"/>
      <c r="F301" s="2" t="n">
        <v>0</v>
      </c>
      <c r="G301" s="2" t="n">
        <v>1</v>
      </c>
      <c r="H301" s="2" t="n">
        <v>57.4</v>
      </c>
    </row>
    <row r="302" customFormat="false" ht="15" hidden="false" customHeight="false" outlineLevel="0" collapsed="false">
      <c r="A302" s="2" t="s">
        <v>319</v>
      </c>
      <c r="B302" s="2" t="s">
        <v>229</v>
      </c>
      <c r="C302" s="2" t="s">
        <v>16</v>
      </c>
      <c r="D302" s="2" t="n">
        <v>4.21</v>
      </c>
      <c r="E302" s="2"/>
      <c r="F302" s="2" t="n">
        <v>0</v>
      </c>
      <c r="G302" s="2" t="n">
        <v>1</v>
      </c>
      <c r="H302" s="2" t="n">
        <v>48.1</v>
      </c>
    </row>
    <row r="303" customFormat="false" ht="15" hidden="false" customHeight="false" outlineLevel="0" collapsed="false">
      <c r="A303" s="2" t="s">
        <v>320</v>
      </c>
      <c r="B303" s="2" t="s">
        <v>229</v>
      </c>
      <c r="C303" s="2" t="s">
        <v>62</v>
      </c>
      <c r="D303" s="2" t="n">
        <v>12.77</v>
      </c>
      <c r="E303" s="2"/>
      <c r="F303" s="2" t="n">
        <v>0</v>
      </c>
      <c r="G303" s="2" t="n">
        <v>6</v>
      </c>
      <c r="H303" s="2" t="n">
        <v>48.1</v>
      </c>
    </row>
    <row r="304" customFormat="false" ht="15" hidden="false" customHeight="false" outlineLevel="0" collapsed="false">
      <c r="A304" s="2" t="s">
        <v>321</v>
      </c>
      <c r="B304" s="2" t="s">
        <v>229</v>
      </c>
      <c r="C304" s="2" t="s">
        <v>70</v>
      </c>
      <c r="D304" s="2" t="n">
        <v>1.47</v>
      </c>
      <c r="E304" s="2"/>
      <c r="F304" s="2" t="n">
        <v>0</v>
      </c>
      <c r="G304" s="2" t="n">
        <v>1</v>
      </c>
      <c r="H304" s="2" t="n">
        <v>48.1</v>
      </c>
    </row>
    <row r="305" customFormat="false" ht="15" hidden="false" customHeight="false" outlineLevel="0" collapsed="false">
      <c r="A305" s="2" t="s">
        <v>322</v>
      </c>
      <c r="B305" s="2" t="s">
        <v>229</v>
      </c>
      <c r="C305" s="2" t="s">
        <v>16</v>
      </c>
      <c r="D305" s="2" t="n">
        <v>3.11</v>
      </c>
      <c r="E305" s="2"/>
      <c r="F305" s="2" t="n">
        <v>0</v>
      </c>
      <c r="G305" s="2" t="n">
        <v>0</v>
      </c>
      <c r="H305" s="2" t="n">
        <v>46.1</v>
      </c>
    </row>
    <row r="306" customFormat="false" ht="15" hidden="false" customHeight="false" outlineLevel="0" collapsed="false">
      <c r="A306" s="2" t="s">
        <v>323</v>
      </c>
      <c r="B306" s="2" t="s">
        <v>229</v>
      </c>
      <c r="C306" s="2" t="s">
        <v>62</v>
      </c>
      <c r="D306" s="2" t="n">
        <v>14.61</v>
      </c>
      <c r="E306" s="2"/>
      <c r="F306" s="2" t="n">
        <v>0</v>
      </c>
      <c r="G306" s="2" t="n">
        <v>0</v>
      </c>
      <c r="H306" s="2" t="n">
        <v>48.1</v>
      </c>
    </row>
    <row r="307" customFormat="false" ht="15" hidden="false" customHeight="false" outlineLevel="0" collapsed="false">
      <c r="A307" s="2" t="s">
        <v>324</v>
      </c>
      <c r="B307" s="2" t="s">
        <v>229</v>
      </c>
      <c r="C307" s="2" t="s">
        <v>70</v>
      </c>
      <c r="D307" s="2" t="n">
        <v>1.38</v>
      </c>
      <c r="E307" s="2"/>
      <c r="F307" s="2" t="n">
        <v>0</v>
      </c>
      <c r="G307" s="2" t="n">
        <v>0</v>
      </c>
      <c r="H307" s="2" t="n">
        <v>48.1</v>
      </c>
    </row>
    <row r="308" customFormat="false" ht="15" hidden="false" customHeight="false" outlineLevel="0" collapsed="false">
      <c r="A308" s="2" t="s">
        <v>325</v>
      </c>
      <c r="B308" s="2" t="s">
        <v>229</v>
      </c>
      <c r="C308" s="2" t="s">
        <v>16</v>
      </c>
      <c r="D308" s="2" t="n">
        <v>3.93</v>
      </c>
      <c r="E308" s="2"/>
      <c r="F308" s="2" t="n">
        <v>0</v>
      </c>
      <c r="G308" s="2" t="n">
        <v>0</v>
      </c>
      <c r="H308" s="2" t="n">
        <v>60.1</v>
      </c>
    </row>
    <row r="309" customFormat="false" ht="15" hidden="false" customHeight="false" outlineLevel="0" collapsed="false">
      <c r="A309" s="2" t="s">
        <v>326</v>
      </c>
      <c r="B309" s="2" t="s">
        <v>229</v>
      </c>
      <c r="C309" s="2" t="s">
        <v>62</v>
      </c>
      <c r="D309" s="2" t="n">
        <v>13.49</v>
      </c>
      <c r="E309" s="2"/>
      <c r="F309" s="2" t="n">
        <v>0</v>
      </c>
      <c r="G309" s="2" t="n">
        <v>2</v>
      </c>
      <c r="H309" s="2" t="n">
        <v>57.4</v>
      </c>
    </row>
    <row r="310" customFormat="false" ht="15" hidden="false" customHeight="false" outlineLevel="0" collapsed="false">
      <c r="A310" s="2" t="s">
        <v>327</v>
      </c>
      <c r="B310" s="2" t="s">
        <v>229</v>
      </c>
      <c r="C310" s="2" t="s">
        <v>70</v>
      </c>
      <c r="D310" s="2" t="n">
        <v>1.66</v>
      </c>
      <c r="E310" s="2"/>
      <c r="F310" s="2" t="n">
        <v>0</v>
      </c>
      <c r="G310" s="2" t="n">
        <v>2</v>
      </c>
      <c r="H310" s="2" t="n">
        <v>48.1</v>
      </c>
    </row>
    <row r="311" customFormat="false" ht="15" hidden="false" customHeight="false" outlineLevel="0" collapsed="false">
      <c r="A311" s="2" t="s">
        <v>328</v>
      </c>
      <c r="B311" s="2" t="s">
        <v>229</v>
      </c>
      <c r="C311" s="2" t="s">
        <v>62</v>
      </c>
      <c r="D311" s="2" t="n">
        <v>18.66</v>
      </c>
      <c r="E311" s="2"/>
      <c r="F311" s="2" t="n">
        <v>0</v>
      </c>
      <c r="G311" s="2" t="n">
        <v>1</v>
      </c>
      <c r="H311" s="2" t="n">
        <v>57.4</v>
      </c>
    </row>
    <row r="312" customFormat="false" ht="15" hidden="false" customHeight="false" outlineLevel="0" collapsed="false">
      <c r="A312" s="2" t="s">
        <v>329</v>
      </c>
      <c r="B312" s="2" t="s">
        <v>229</v>
      </c>
      <c r="C312" s="2" t="s">
        <v>62</v>
      </c>
      <c r="D312" s="2" t="n">
        <v>14.58</v>
      </c>
      <c r="E312" s="2"/>
      <c r="F312" s="2" t="n">
        <v>0</v>
      </c>
      <c r="G312" s="2" t="n">
        <v>0</v>
      </c>
      <c r="H312" s="2" t="n">
        <v>57.4</v>
      </c>
    </row>
    <row r="313" customFormat="false" ht="15" hidden="false" customHeight="false" outlineLevel="0" collapsed="false">
      <c r="A313" s="2" t="s">
        <v>330</v>
      </c>
      <c r="B313" s="2" t="s">
        <v>229</v>
      </c>
      <c r="C313" s="2" t="s">
        <v>16</v>
      </c>
      <c r="D313" s="2" t="n">
        <v>3.43</v>
      </c>
      <c r="E313" s="2"/>
      <c r="F313" s="2" t="n">
        <v>0</v>
      </c>
      <c r="G313" s="2" t="n">
        <v>2</v>
      </c>
      <c r="H313" s="2" t="n">
        <v>48.1</v>
      </c>
    </row>
    <row r="314" customFormat="false" ht="15" hidden="false" customHeight="false" outlineLevel="0" collapsed="false">
      <c r="A314" s="2" t="s">
        <v>331</v>
      </c>
      <c r="B314" s="2" t="s">
        <v>229</v>
      </c>
      <c r="C314" s="2" t="s">
        <v>62</v>
      </c>
      <c r="D314" s="2" t="n">
        <v>17.22</v>
      </c>
      <c r="E314" s="2"/>
      <c r="F314" s="2" t="n">
        <v>0</v>
      </c>
      <c r="G314" s="2" t="n">
        <v>3</v>
      </c>
      <c r="H314" s="2" t="n">
        <v>48.1</v>
      </c>
    </row>
    <row r="315" customFormat="false" ht="15" hidden="false" customHeight="false" outlineLevel="0" collapsed="false">
      <c r="A315" s="2" t="s">
        <v>332</v>
      </c>
      <c r="B315" s="2" t="s">
        <v>229</v>
      </c>
      <c r="C315" s="2" t="s">
        <v>16</v>
      </c>
      <c r="D315" s="2" t="n">
        <v>3.8</v>
      </c>
      <c r="E315" s="2"/>
      <c r="F315" s="2" t="n">
        <v>0</v>
      </c>
      <c r="G315" s="2" t="n">
        <v>0</v>
      </c>
      <c r="H315" s="2" t="n">
        <v>48.1</v>
      </c>
    </row>
    <row r="316" customFormat="false" ht="15" hidden="false" customHeight="false" outlineLevel="0" collapsed="false">
      <c r="A316" s="2" t="s">
        <v>333</v>
      </c>
      <c r="B316" s="2" t="s">
        <v>229</v>
      </c>
      <c r="C316" s="2" t="s">
        <v>70</v>
      </c>
      <c r="D316" s="2" t="n">
        <v>1.02</v>
      </c>
      <c r="E316" s="2"/>
      <c r="F316" s="2" t="n">
        <v>0</v>
      </c>
      <c r="G316" s="2" t="n">
        <v>3</v>
      </c>
      <c r="H316" s="2" t="n">
        <v>44.9</v>
      </c>
    </row>
    <row r="317" customFormat="false" ht="15" hidden="false" customHeight="false" outlineLevel="0" collapsed="false">
      <c r="A317" s="2" t="s">
        <v>334</v>
      </c>
      <c r="B317" s="2" t="s">
        <v>335</v>
      </c>
      <c r="C317" s="2" t="s">
        <v>10</v>
      </c>
      <c r="D317" s="2" t="n">
        <v>28.91</v>
      </c>
      <c r="E317" s="2"/>
      <c r="F317" s="2" t="n">
        <v>1436.3</v>
      </c>
      <c r="G317" s="2" t="n">
        <v>6</v>
      </c>
      <c r="H317" s="2" t="n">
        <v>47.7</v>
      </c>
    </row>
    <row r="318" customFormat="false" ht="15" hidden="false" customHeight="false" outlineLevel="0" collapsed="false">
      <c r="A318" s="2" t="s">
        <v>336</v>
      </c>
      <c r="B318" s="2" t="s">
        <v>335</v>
      </c>
      <c r="C318" s="2" t="s">
        <v>12</v>
      </c>
      <c r="D318" s="2" t="n">
        <v>12.41</v>
      </c>
      <c r="E318" s="2"/>
      <c r="F318" s="2" t="n">
        <v>541.6</v>
      </c>
      <c r="G318" s="2" t="n">
        <v>4</v>
      </c>
      <c r="H318" s="2" t="n">
        <v>42</v>
      </c>
    </row>
    <row r="319" customFormat="false" ht="15" hidden="false" customHeight="false" outlineLevel="0" collapsed="false">
      <c r="A319" s="2" t="s">
        <v>337</v>
      </c>
      <c r="B319" s="2" t="s">
        <v>335</v>
      </c>
      <c r="C319" s="2" t="s">
        <v>12</v>
      </c>
      <c r="D319" s="2" t="n">
        <v>12.03</v>
      </c>
      <c r="E319" s="2"/>
      <c r="F319" s="2" t="n">
        <v>134.1</v>
      </c>
      <c r="G319" s="2" t="n">
        <v>3</v>
      </c>
      <c r="H319" s="2" t="n">
        <v>66.6</v>
      </c>
    </row>
    <row r="320" customFormat="false" ht="15" hidden="false" customHeight="false" outlineLevel="0" collapsed="false">
      <c r="A320" s="2" t="s">
        <v>338</v>
      </c>
      <c r="B320" s="2" t="s">
        <v>335</v>
      </c>
      <c r="C320" s="2" t="s">
        <v>16</v>
      </c>
      <c r="D320" s="2" t="n">
        <v>3.13</v>
      </c>
      <c r="E320" s="2"/>
      <c r="F320" s="2" t="n">
        <v>0</v>
      </c>
      <c r="G320" s="2" t="n">
        <v>4</v>
      </c>
      <c r="H320" s="2" t="n">
        <v>48.1</v>
      </c>
    </row>
    <row r="321" customFormat="false" ht="15" hidden="false" customHeight="false" outlineLevel="0" collapsed="false">
      <c r="A321" s="2" t="s">
        <v>339</v>
      </c>
      <c r="B321" s="2" t="s">
        <v>335</v>
      </c>
      <c r="C321" s="2" t="s">
        <v>14</v>
      </c>
      <c r="D321" s="2" t="n">
        <v>7.75</v>
      </c>
      <c r="E321" s="2"/>
      <c r="F321" s="2" t="n">
        <v>0</v>
      </c>
      <c r="G321" s="2" t="n">
        <v>6</v>
      </c>
      <c r="H321" s="2" t="n">
        <v>45.3</v>
      </c>
    </row>
    <row r="322" customFormat="false" ht="15" hidden="false" customHeight="false" outlineLevel="0" collapsed="false">
      <c r="A322" s="2" t="s">
        <v>340</v>
      </c>
      <c r="B322" s="2" t="s">
        <v>335</v>
      </c>
      <c r="C322" s="2" t="s">
        <v>14</v>
      </c>
      <c r="D322" s="2" t="n">
        <v>9.15</v>
      </c>
      <c r="E322" s="2" t="n">
        <v>0.875</v>
      </c>
      <c r="F322" s="2" t="n">
        <v>1786</v>
      </c>
      <c r="G322" s="2" t="n">
        <v>3</v>
      </c>
      <c r="H322" s="2" t="n">
        <v>47</v>
      </c>
    </row>
    <row r="323" customFormat="false" ht="15" hidden="false" customHeight="false" outlineLevel="0" collapsed="false">
      <c r="A323" s="2" t="s">
        <v>341</v>
      </c>
      <c r="B323" s="2" t="s">
        <v>335</v>
      </c>
      <c r="C323" s="2" t="s">
        <v>24</v>
      </c>
      <c r="D323" s="2" t="n">
        <v>1.94</v>
      </c>
      <c r="E323" s="2" t="n">
        <v>0.833333333333333</v>
      </c>
      <c r="F323" s="2" t="n">
        <v>572.9</v>
      </c>
      <c r="G323" s="2" t="n">
        <v>3</v>
      </c>
      <c r="H323" s="2" t="n">
        <v>35.4</v>
      </c>
    </row>
    <row r="324" customFormat="false" ht="15" hidden="false" customHeight="false" outlineLevel="0" collapsed="false">
      <c r="A324" s="2" t="s">
        <v>342</v>
      </c>
      <c r="B324" s="2" t="s">
        <v>335</v>
      </c>
      <c r="C324" s="2" t="s">
        <v>19</v>
      </c>
      <c r="D324" s="2" t="n">
        <v>5.12</v>
      </c>
      <c r="E324" s="2" t="n">
        <v>0.8</v>
      </c>
      <c r="F324" s="2" t="n">
        <v>3359.9</v>
      </c>
      <c r="G324" s="2" t="n">
        <v>3</v>
      </c>
      <c r="H324" s="2" t="n">
        <v>30.6</v>
      </c>
    </row>
    <row r="325" customFormat="false" ht="15" hidden="false" customHeight="false" outlineLevel="0" collapsed="false">
      <c r="A325" s="2" t="s">
        <v>343</v>
      </c>
      <c r="B325" s="2" t="s">
        <v>335</v>
      </c>
      <c r="C325" s="2" t="s">
        <v>19</v>
      </c>
      <c r="D325" s="2" t="n">
        <v>5.86</v>
      </c>
      <c r="E325" s="2" t="n">
        <v>0.866666666666667</v>
      </c>
      <c r="F325" s="2" t="n">
        <v>1497.1</v>
      </c>
      <c r="G325" s="2" t="n">
        <v>2</v>
      </c>
      <c r="H325" s="2" t="n">
        <v>40.5</v>
      </c>
    </row>
    <row r="326" customFormat="false" ht="15" hidden="false" customHeight="false" outlineLevel="0" collapsed="false">
      <c r="A326" s="2" t="s">
        <v>344</v>
      </c>
      <c r="B326" s="2" t="s">
        <v>335</v>
      </c>
      <c r="C326" s="2" t="s">
        <v>14</v>
      </c>
      <c r="D326" s="2" t="n">
        <v>10.47</v>
      </c>
      <c r="E326" s="2"/>
      <c r="F326" s="2" t="n">
        <v>653.2</v>
      </c>
      <c r="G326" s="2" t="n">
        <v>6</v>
      </c>
      <c r="H326" s="2" t="n">
        <v>37.3</v>
      </c>
    </row>
    <row r="327" customFormat="false" ht="15" hidden="false" customHeight="false" outlineLevel="0" collapsed="false">
      <c r="A327" s="2" t="s">
        <v>345</v>
      </c>
      <c r="B327" s="2" t="s">
        <v>335</v>
      </c>
      <c r="C327" s="2" t="s">
        <v>24</v>
      </c>
      <c r="D327" s="2" t="n">
        <v>2.25</v>
      </c>
      <c r="E327" s="2" t="n">
        <v>0.875</v>
      </c>
      <c r="F327" s="2" t="n">
        <v>743.4</v>
      </c>
      <c r="G327" s="2" t="n">
        <v>2</v>
      </c>
      <c r="H327" s="2" t="n">
        <v>39.6</v>
      </c>
    </row>
    <row r="328" customFormat="false" ht="15" hidden="false" customHeight="false" outlineLevel="0" collapsed="false">
      <c r="A328" s="2" t="s">
        <v>346</v>
      </c>
      <c r="B328" s="2" t="s">
        <v>335</v>
      </c>
      <c r="C328" s="2" t="s">
        <v>24</v>
      </c>
      <c r="D328" s="2" t="n">
        <v>2.08</v>
      </c>
      <c r="E328" s="2" t="n">
        <v>0.857142857142857</v>
      </c>
      <c r="F328" s="2" t="n">
        <v>701.9</v>
      </c>
      <c r="G328" s="2" t="n">
        <v>3</v>
      </c>
      <c r="H328" s="2" t="n">
        <v>28.5</v>
      </c>
    </row>
    <row r="329" customFormat="false" ht="15" hidden="false" customHeight="false" outlineLevel="0" collapsed="false">
      <c r="A329" s="2" t="s">
        <v>347</v>
      </c>
      <c r="B329" s="2" t="s">
        <v>335</v>
      </c>
      <c r="C329" s="2" t="s">
        <v>24</v>
      </c>
      <c r="D329" s="2" t="n">
        <v>1.3</v>
      </c>
      <c r="E329" s="2" t="n">
        <v>1</v>
      </c>
      <c r="F329" s="2" t="n">
        <v>431.7</v>
      </c>
      <c r="G329" s="2" t="n">
        <v>1</v>
      </c>
      <c r="H329" s="2" t="n">
        <v>17.1</v>
      </c>
    </row>
    <row r="330" customFormat="false" ht="15" hidden="false" customHeight="false" outlineLevel="0" collapsed="false">
      <c r="A330" s="2" t="s">
        <v>348</v>
      </c>
      <c r="B330" s="2" t="s">
        <v>335</v>
      </c>
      <c r="C330" s="2" t="s">
        <v>24</v>
      </c>
      <c r="D330" s="2" t="n">
        <v>1.53</v>
      </c>
      <c r="E330" s="2" t="n">
        <v>0.866666666666667</v>
      </c>
      <c r="F330" s="2" t="n">
        <v>413.5</v>
      </c>
      <c r="G330" s="2" t="n">
        <v>1</v>
      </c>
      <c r="H330" s="2" t="n">
        <v>47</v>
      </c>
    </row>
    <row r="331" customFormat="false" ht="15" hidden="false" customHeight="false" outlineLevel="0" collapsed="false">
      <c r="A331" s="2" t="s">
        <v>349</v>
      </c>
      <c r="B331" s="2" t="s">
        <v>335</v>
      </c>
      <c r="C331" s="2" t="s">
        <v>14</v>
      </c>
      <c r="D331" s="2" t="n">
        <v>9.35</v>
      </c>
      <c r="E331" s="2"/>
      <c r="F331" s="2" t="n">
        <v>826.8</v>
      </c>
      <c r="G331" s="2" t="n">
        <v>1</v>
      </c>
      <c r="H331" s="2" t="n">
        <v>65.8</v>
      </c>
    </row>
    <row r="332" customFormat="false" ht="15" hidden="false" customHeight="false" outlineLevel="0" collapsed="false">
      <c r="A332" s="2" t="s">
        <v>350</v>
      </c>
      <c r="B332" s="2" t="s">
        <v>335</v>
      </c>
      <c r="C332" s="2" t="s">
        <v>24</v>
      </c>
      <c r="D332" s="2" t="n">
        <v>2.54</v>
      </c>
      <c r="E332" s="2" t="n">
        <v>1</v>
      </c>
      <c r="F332" s="2" t="n">
        <v>672.5</v>
      </c>
      <c r="G332" s="2" t="n">
        <v>4</v>
      </c>
      <c r="H332" s="2" t="n">
        <v>39.4</v>
      </c>
    </row>
    <row r="333" customFormat="false" ht="15" hidden="false" customHeight="false" outlineLevel="0" collapsed="false">
      <c r="A333" s="2" t="s">
        <v>351</v>
      </c>
      <c r="B333" s="2" t="s">
        <v>335</v>
      </c>
      <c r="C333" s="2" t="s">
        <v>24</v>
      </c>
      <c r="D333" s="2" t="n">
        <v>2.61</v>
      </c>
      <c r="E333" s="2" t="n">
        <v>0.923076923076923</v>
      </c>
      <c r="F333" s="2" t="n">
        <v>675.7</v>
      </c>
      <c r="G333" s="2" t="n">
        <v>1</v>
      </c>
      <c r="H333" s="2" t="n">
        <v>37.4</v>
      </c>
    </row>
    <row r="334" customFormat="false" ht="15" hidden="false" customHeight="false" outlineLevel="0" collapsed="false">
      <c r="A334" s="2" t="s">
        <v>352</v>
      </c>
      <c r="B334" s="2" t="s">
        <v>335</v>
      </c>
      <c r="C334" s="2" t="s">
        <v>14</v>
      </c>
      <c r="D334" s="2" t="n">
        <v>8.89</v>
      </c>
      <c r="E334" s="2" t="n">
        <v>0.727272727272727</v>
      </c>
      <c r="F334" s="2" t="n">
        <v>174.4</v>
      </c>
      <c r="G334" s="2" t="n">
        <v>1</v>
      </c>
      <c r="H334" s="2" t="n">
        <v>81.1</v>
      </c>
    </row>
    <row r="335" customFormat="false" ht="15" hidden="false" customHeight="false" outlineLevel="0" collapsed="false">
      <c r="A335" s="2" t="s">
        <v>353</v>
      </c>
      <c r="B335" s="2" t="s">
        <v>335</v>
      </c>
      <c r="C335" s="2" t="s">
        <v>14</v>
      </c>
      <c r="D335" s="2" t="n">
        <v>10.96</v>
      </c>
      <c r="E335" s="2"/>
      <c r="F335" s="2" t="n">
        <v>2011.4</v>
      </c>
      <c r="G335" s="2" t="n">
        <v>2</v>
      </c>
      <c r="H335" s="2" t="n">
        <v>58.8</v>
      </c>
    </row>
    <row r="336" customFormat="false" ht="15" hidden="false" customHeight="false" outlineLevel="0" collapsed="false">
      <c r="A336" s="2" t="s">
        <v>354</v>
      </c>
      <c r="B336" s="2" t="s">
        <v>335</v>
      </c>
      <c r="C336" s="2" t="s">
        <v>14</v>
      </c>
      <c r="D336" s="2" t="n">
        <v>7.59</v>
      </c>
      <c r="E336" s="2"/>
      <c r="F336" s="2" t="n">
        <v>0</v>
      </c>
      <c r="G336" s="2" t="n">
        <v>0</v>
      </c>
      <c r="H336" s="2" t="n">
        <v>48.1</v>
      </c>
    </row>
    <row r="337" customFormat="false" ht="15" hidden="false" customHeight="false" outlineLevel="0" collapsed="false">
      <c r="A337" s="2" t="s">
        <v>355</v>
      </c>
      <c r="B337" s="2" t="s">
        <v>335</v>
      </c>
      <c r="C337" s="2" t="s">
        <v>14</v>
      </c>
      <c r="D337" s="2" t="n">
        <v>8.29</v>
      </c>
      <c r="E337" s="2"/>
      <c r="F337" s="2" t="n">
        <v>0</v>
      </c>
      <c r="G337" s="2" t="n">
        <v>3</v>
      </c>
      <c r="H337" s="2" t="n">
        <v>45.7</v>
      </c>
    </row>
    <row r="338" customFormat="false" ht="15" hidden="false" customHeight="false" outlineLevel="0" collapsed="false">
      <c r="A338" s="2" t="s">
        <v>356</v>
      </c>
      <c r="B338" s="2" t="s">
        <v>335</v>
      </c>
      <c r="C338" s="2" t="s">
        <v>24</v>
      </c>
      <c r="D338" s="2" t="n">
        <v>2.02</v>
      </c>
      <c r="E338" s="2"/>
      <c r="F338" s="2" t="n">
        <v>0</v>
      </c>
      <c r="G338" s="2" t="n">
        <v>2</v>
      </c>
      <c r="H338" s="2" t="n">
        <v>57.4</v>
      </c>
    </row>
    <row r="339" customFormat="false" ht="15" hidden="false" customHeight="false" outlineLevel="0" collapsed="false">
      <c r="A339" s="2" t="s">
        <v>357</v>
      </c>
      <c r="B339" s="2" t="s">
        <v>335</v>
      </c>
      <c r="C339" s="2" t="s">
        <v>14</v>
      </c>
      <c r="D339" s="2" t="n">
        <v>8.31</v>
      </c>
      <c r="E339" s="2"/>
      <c r="F339" s="2" t="n">
        <v>0</v>
      </c>
      <c r="G339" s="2" t="n">
        <v>2</v>
      </c>
      <c r="H339" s="2" t="n">
        <v>54.6</v>
      </c>
    </row>
    <row r="340" customFormat="false" ht="15" hidden="false" customHeight="false" outlineLevel="0" collapsed="false">
      <c r="A340" s="2" t="s">
        <v>358</v>
      </c>
      <c r="B340" s="2" t="s">
        <v>335</v>
      </c>
      <c r="C340" s="2" t="s">
        <v>24</v>
      </c>
      <c r="D340" s="2" t="n">
        <v>2.12</v>
      </c>
      <c r="E340" s="2"/>
      <c r="F340" s="2" t="n">
        <v>0</v>
      </c>
      <c r="G340" s="2" t="n">
        <v>0</v>
      </c>
      <c r="H340" s="2" t="n">
        <v>45.3</v>
      </c>
    </row>
    <row r="341" customFormat="false" ht="15" hidden="false" customHeight="false" outlineLevel="0" collapsed="false">
      <c r="A341" s="2" t="s">
        <v>359</v>
      </c>
      <c r="B341" s="2" t="s">
        <v>335</v>
      </c>
      <c r="C341" s="2" t="s">
        <v>19</v>
      </c>
      <c r="D341" s="2" t="n">
        <v>4.95</v>
      </c>
      <c r="E341" s="2"/>
      <c r="F341" s="2" t="n">
        <v>0</v>
      </c>
      <c r="G341" s="2" t="n">
        <v>3</v>
      </c>
      <c r="H341" s="2" t="n">
        <v>48.1</v>
      </c>
    </row>
    <row r="342" customFormat="false" ht="15" hidden="false" customHeight="false" outlineLevel="0" collapsed="false">
      <c r="A342" s="2" t="s">
        <v>360</v>
      </c>
      <c r="B342" s="2" t="s">
        <v>335</v>
      </c>
      <c r="C342" s="2" t="s">
        <v>19</v>
      </c>
      <c r="D342" s="2" t="n">
        <v>5.06</v>
      </c>
      <c r="E342" s="2" t="n">
        <v>0.75</v>
      </c>
      <c r="F342" s="2" t="n">
        <v>128.5</v>
      </c>
      <c r="G342" s="2" t="n">
        <v>2</v>
      </c>
      <c r="H342" s="2" t="n">
        <v>74.9</v>
      </c>
    </row>
    <row r="343" customFormat="false" ht="15" hidden="false" customHeight="false" outlineLevel="0" collapsed="false">
      <c r="A343" s="2" t="s">
        <v>361</v>
      </c>
      <c r="B343" s="2" t="s">
        <v>335</v>
      </c>
      <c r="C343" s="2" t="s">
        <v>14</v>
      </c>
      <c r="D343" s="2" t="n">
        <v>10.82</v>
      </c>
      <c r="E343" s="2" t="n">
        <v>1</v>
      </c>
      <c r="F343" s="2" t="n">
        <v>747.6</v>
      </c>
      <c r="G343" s="2" t="n">
        <v>2</v>
      </c>
      <c r="H343" s="2" t="n">
        <v>41.1</v>
      </c>
    </row>
    <row r="344" customFormat="false" ht="15" hidden="false" customHeight="false" outlineLevel="0" collapsed="false">
      <c r="A344" s="2" t="s">
        <v>362</v>
      </c>
      <c r="B344" s="2" t="s">
        <v>335</v>
      </c>
      <c r="C344" s="2" t="s">
        <v>14</v>
      </c>
      <c r="D344" s="2" t="n">
        <v>9.85</v>
      </c>
      <c r="E344" s="2" t="n">
        <v>1</v>
      </c>
      <c r="F344" s="2" t="n">
        <v>1702.4</v>
      </c>
      <c r="G344" s="2" t="n">
        <v>1</v>
      </c>
      <c r="H344" s="2" t="n">
        <v>49.5</v>
      </c>
    </row>
    <row r="345" customFormat="false" ht="15" hidden="false" customHeight="false" outlineLevel="0" collapsed="false">
      <c r="A345" s="2" t="s">
        <v>363</v>
      </c>
      <c r="B345" s="2" t="s">
        <v>335</v>
      </c>
      <c r="C345" s="2" t="s">
        <v>19</v>
      </c>
      <c r="D345" s="2" t="n">
        <v>4.98</v>
      </c>
      <c r="E345" s="2" t="n">
        <v>1</v>
      </c>
      <c r="F345" s="2" t="n">
        <v>1445.7</v>
      </c>
      <c r="G345" s="2" t="n">
        <v>2</v>
      </c>
      <c r="H345" s="2" t="n">
        <v>38.7</v>
      </c>
    </row>
    <row r="346" customFormat="false" ht="15" hidden="false" customHeight="false" outlineLevel="0" collapsed="false">
      <c r="A346" s="2" t="s">
        <v>364</v>
      </c>
      <c r="B346" s="2" t="s">
        <v>335</v>
      </c>
      <c r="C346" s="2" t="s">
        <v>14</v>
      </c>
      <c r="D346" s="2" t="n">
        <v>9.23</v>
      </c>
      <c r="E346" s="2" t="n">
        <v>0.944444444444444</v>
      </c>
      <c r="F346" s="2" t="n">
        <v>1397.6</v>
      </c>
      <c r="G346" s="2" t="n">
        <v>3</v>
      </c>
      <c r="H346" s="2" t="n">
        <v>57.6</v>
      </c>
    </row>
    <row r="347" customFormat="false" ht="15" hidden="false" customHeight="false" outlineLevel="0" collapsed="false">
      <c r="A347" s="2" t="s">
        <v>365</v>
      </c>
      <c r="B347" s="2" t="s">
        <v>335</v>
      </c>
      <c r="C347" s="2" t="s">
        <v>24</v>
      </c>
      <c r="D347" s="2" t="n">
        <v>1.05</v>
      </c>
      <c r="E347" s="2" t="n">
        <v>0.857142857142857</v>
      </c>
      <c r="F347" s="2" t="n">
        <v>258.6</v>
      </c>
      <c r="G347" s="2" t="n">
        <v>0</v>
      </c>
      <c r="H347" s="2" t="n">
        <v>27.1</v>
      </c>
    </row>
    <row r="348" customFormat="false" ht="15" hidden="false" customHeight="false" outlineLevel="0" collapsed="false">
      <c r="A348" s="2" t="s">
        <v>366</v>
      </c>
      <c r="B348" s="2" t="s">
        <v>335</v>
      </c>
      <c r="C348" s="2" t="s">
        <v>19</v>
      </c>
      <c r="D348" s="2" t="n">
        <v>5.34</v>
      </c>
      <c r="E348" s="2" t="n">
        <v>1</v>
      </c>
      <c r="F348" s="2" t="n">
        <v>1449.6</v>
      </c>
      <c r="G348" s="2" t="n">
        <v>3</v>
      </c>
      <c r="H348" s="2" t="n">
        <v>65.9</v>
      </c>
    </row>
    <row r="349" customFormat="false" ht="15" hidden="false" customHeight="false" outlineLevel="0" collapsed="false">
      <c r="A349" s="2" t="s">
        <v>367</v>
      </c>
      <c r="B349" s="2" t="s">
        <v>335</v>
      </c>
      <c r="C349" s="2" t="s">
        <v>24</v>
      </c>
      <c r="D349" s="2" t="n">
        <v>2.12</v>
      </c>
      <c r="E349" s="2"/>
      <c r="F349" s="2" t="n">
        <v>465.2</v>
      </c>
      <c r="G349" s="2" t="n">
        <v>2</v>
      </c>
      <c r="H349" s="2" t="n">
        <v>66.4</v>
      </c>
    </row>
    <row r="350" customFormat="false" ht="15" hidden="false" customHeight="false" outlineLevel="0" collapsed="false">
      <c r="A350" s="2" t="s">
        <v>368</v>
      </c>
      <c r="B350" s="2" t="s">
        <v>335</v>
      </c>
      <c r="C350" s="2" t="s">
        <v>12</v>
      </c>
      <c r="D350" s="2" t="n">
        <v>13.15</v>
      </c>
      <c r="E350" s="2"/>
      <c r="F350" s="2" t="n">
        <v>791.4</v>
      </c>
      <c r="G350" s="2" t="n">
        <v>0</v>
      </c>
      <c r="H350" s="2" t="n">
        <v>51.8</v>
      </c>
    </row>
    <row r="351" customFormat="false" ht="15" hidden="false" customHeight="false" outlineLevel="0" collapsed="false">
      <c r="A351" s="2" t="s">
        <v>369</v>
      </c>
      <c r="B351" s="2" t="s">
        <v>335</v>
      </c>
      <c r="C351" s="2" t="s">
        <v>14</v>
      </c>
      <c r="D351" s="2" t="n">
        <v>7.04</v>
      </c>
      <c r="E351" s="2" t="n">
        <v>0.952380952380952</v>
      </c>
      <c r="F351" s="2" t="n">
        <v>1056.7</v>
      </c>
      <c r="G351" s="2" t="n">
        <v>0</v>
      </c>
      <c r="H351" s="2" t="n">
        <v>55.5</v>
      </c>
    </row>
    <row r="352" customFormat="false" ht="15" hidden="false" customHeight="false" outlineLevel="0" collapsed="false">
      <c r="A352" s="2" t="s">
        <v>370</v>
      </c>
      <c r="B352" s="2" t="s">
        <v>335</v>
      </c>
      <c r="C352" s="2" t="s">
        <v>19</v>
      </c>
      <c r="D352" s="2" t="n">
        <v>4.01</v>
      </c>
      <c r="E352" s="2" t="n">
        <v>0.75</v>
      </c>
      <c r="F352" s="2" t="n">
        <v>192.9</v>
      </c>
      <c r="G352" s="2" t="n">
        <v>2</v>
      </c>
      <c r="H352" s="2" t="n">
        <v>79.9</v>
      </c>
    </row>
    <row r="353" customFormat="false" ht="15" hidden="false" customHeight="false" outlineLevel="0" collapsed="false">
      <c r="A353" s="2" t="s">
        <v>371</v>
      </c>
      <c r="B353" s="2" t="s">
        <v>335</v>
      </c>
      <c r="C353" s="2" t="s">
        <v>24</v>
      </c>
      <c r="D353" s="2" t="n">
        <v>1.74</v>
      </c>
      <c r="E353" s="2"/>
      <c r="F353" s="2" t="n">
        <v>448</v>
      </c>
      <c r="G353" s="2" t="n">
        <v>0</v>
      </c>
      <c r="H353" s="2" t="n">
        <v>30.1</v>
      </c>
    </row>
    <row r="354" customFormat="false" ht="15" hidden="false" customHeight="false" outlineLevel="0" collapsed="false">
      <c r="A354" s="2" t="s">
        <v>372</v>
      </c>
      <c r="B354" s="2" t="s">
        <v>335</v>
      </c>
      <c r="C354" s="2" t="s">
        <v>12</v>
      </c>
      <c r="D354" s="2" t="n">
        <v>13.82</v>
      </c>
      <c r="E354" s="2" t="n">
        <v>0.75</v>
      </c>
      <c r="F354" s="2" t="n">
        <v>327.1</v>
      </c>
      <c r="G354" s="2" t="n">
        <v>6</v>
      </c>
      <c r="H354" s="2" t="n">
        <v>53</v>
      </c>
    </row>
    <row r="355" customFormat="false" ht="15" hidden="false" customHeight="false" outlineLevel="0" collapsed="false">
      <c r="A355" s="2" t="s">
        <v>373</v>
      </c>
      <c r="B355" s="2" t="s">
        <v>335</v>
      </c>
      <c r="C355" s="2" t="s">
        <v>24</v>
      </c>
      <c r="D355" s="2" t="n">
        <v>1.96</v>
      </c>
      <c r="E355" s="2" t="n">
        <v>1</v>
      </c>
      <c r="F355" s="2" t="n">
        <v>395.7</v>
      </c>
      <c r="G355" s="2" t="n">
        <v>6</v>
      </c>
      <c r="H355" s="2" t="n">
        <v>54.4</v>
      </c>
    </row>
    <row r="356" customFormat="false" ht="15" hidden="false" customHeight="false" outlineLevel="0" collapsed="false">
      <c r="A356" s="2" t="s">
        <v>374</v>
      </c>
      <c r="B356" s="2" t="s">
        <v>335</v>
      </c>
      <c r="C356" s="2" t="s">
        <v>14</v>
      </c>
      <c r="D356" s="2" t="n">
        <v>8.01</v>
      </c>
      <c r="E356" s="2" t="n">
        <v>0.764705882352941</v>
      </c>
      <c r="F356" s="2" t="n">
        <v>1414</v>
      </c>
      <c r="G356" s="2" t="n">
        <v>2</v>
      </c>
      <c r="H356" s="2" t="n">
        <v>43.7</v>
      </c>
    </row>
    <row r="357" customFormat="false" ht="15" hidden="false" customHeight="false" outlineLevel="0" collapsed="false">
      <c r="A357" s="2" t="s">
        <v>375</v>
      </c>
      <c r="B357" s="2" t="s">
        <v>335</v>
      </c>
      <c r="C357" s="2" t="s">
        <v>12</v>
      </c>
      <c r="D357" s="2" t="n">
        <v>14.47</v>
      </c>
      <c r="E357" s="2" t="n">
        <v>1</v>
      </c>
      <c r="F357" s="2" t="n">
        <v>572.3</v>
      </c>
      <c r="G357" s="2" t="n">
        <v>0</v>
      </c>
      <c r="H357" s="2" t="n">
        <v>56.1</v>
      </c>
    </row>
    <row r="358" customFormat="false" ht="15" hidden="false" customHeight="false" outlineLevel="0" collapsed="false">
      <c r="A358" s="2" t="s">
        <v>376</v>
      </c>
      <c r="B358" s="2" t="s">
        <v>335</v>
      </c>
      <c r="C358" s="2" t="s">
        <v>12</v>
      </c>
      <c r="D358" s="2" t="n">
        <v>14.99</v>
      </c>
      <c r="E358" s="2" t="n">
        <v>1</v>
      </c>
      <c r="F358" s="2" t="n">
        <v>1338</v>
      </c>
      <c r="G358" s="2" t="n">
        <v>6</v>
      </c>
      <c r="H358" s="2" t="n">
        <v>44.6</v>
      </c>
    </row>
    <row r="359" customFormat="false" ht="15" hidden="false" customHeight="false" outlineLevel="0" collapsed="false">
      <c r="A359" s="2" t="s">
        <v>377</v>
      </c>
      <c r="B359" s="2" t="s">
        <v>335</v>
      </c>
      <c r="C359" s="2" t="s">
        <v>19</v>
      </c>
      <c r="D359" s="2" t="n">
        <v>4.95</v>
      </c>
      <c r="E359" s="2"/>
      <c r="F359" s="2" t="n">
        <v>181.6</v>
      </c>
      <c r="G359" s="2" t="n">
        <v>0</v>
      </c>
      <c r="H359" s="2" t="n">
        <v>55.8</v>
      </c>
    </row>
    <row r="360" customFormat="false" ht="15" hidden="false" customHeight="false" outlineLevel="0" collapsed="false">
      <c r="A360" s="2" t="s">
        <v>378</v>
      </c>
      <c r="B360" s="2" t="s">
        <v>335</v>
      </c>
      <c r="C360" s="2" t="s">
        <v>14</v>
      </c>
      <c r="D360" s="2" t="n">
        <v>10.23</v>
      </c>
      <c r="E360" s="2" t="n">
        <v>0.65</v>
      </c>
      <c r="F360" s="2" t="n">
        <v>1228.8</v>
      </c>
      <c r="G360" s="2" t="n">
        <v>3</v>
      </c>
      <c r="H360" s="2" t="n">
        <v>61.4</v>
      </c>
    </row>
    <row r="361" customFormat="false" ht="15" hidden="false" customHeight="false" outlineLevel="0" collapsed="false">
      <c r="A361" s="2" t="s">
        <v>379</v>
      </c>
      <c r="B361" s="2" t="s">
        <v>335</v>
      </c>
      <c r="C361" s="2" t="s">
        <v>24</v>
      </c>
      <c r="D361" s="2" t="n">
        <v>2.79</v>
      </c>
      <c r="E361" s="2" t="n">
        <v>0.9375</v>
      </c>
      <c r="F361" s="2" t="n">
        <v>822.3</v>
      </c>
      <c r="G361" s="2" t="n">
        <v>0</v>
      </c>
      <c r="H361" s="2" t="n">
        <v>38.8</v>
      </c>
    </row>
    <row r="362" customFormat="false" ht="15" hidden="false" customHeight="false" outlineLevel="0" collapsed="false">
      <c r="A362" s="2" t="s">
        <v>380</v>
      </c>
      <c r="B362" s="2" t="s">
        <v>335</v>
      </c>
      <c r="C362" s="2" t="s">
        <v>62</v>
      </c>
      <c r="D362" s="2" t="n">
        <v>18.06</v>
      </c>
      <c r="E362" s="2" t="n">
        <v>0.928571428571429</v>
      </c>
      <c r="F362" s="2" t="n">
        <v>2414.2</v>
      </c>
      <c r="G362" s="2" t="n">
        <v>0</v>
      </c>
      <c r="H362" s="2" t="n">
        <v>50.3</v>
      </c>
    </row>
    <row r="363" customFormat="false" ht="15" hidden="false" customHeight="false" outlineLevel="0" collapsed="false">
      <c r="A363" s="2" t="s">
        <v>381</v>
      </c>
      <c r="B363" s="2" t="s">
        <v>335</v>
      </c>
      <c r="C363" s="2" t="s">
        <v>16</v>
      </c>
      <c r="D363" s="2" t="n">
        <v>4.69</v>
      </c>
      <c r="E363" s="2" t="n">
        <v>0.666666666666667</v>
      </c>
      <c r="F363" s="2" t="n">
        <v>888.2</v>
      </c>
      <c r="G363" s="2" t="n">
        <v>2</v>
      </c>
      <c r="H363" s="2" t="n">
        <v>63.4</v>
      </c>
    </row>
    <row r="364" customFormat="false" ht="15" hidden="false" customHeight="false" outlineLevel="0" collapsed="false">
      <c r="A364" s="2" t="s">
        <v>382</v>
      </c>
      <c r="B364" s="2" t="s">
        <v>335</v>
      </c>
      <c r="C364" s="2" t="s">
        <v>16</v>
      </c>
      <c r="D364" s="2" t="n">
        <v>3.12</v>
      </c>
      <c r="E364" s="2"/>
      <c r="F364" s="2" t="n">
        <v>831.8</v>
      </c>
      <c r="G364" s="2" t="n">
        <v>3</v>
      </c>
      <c r="H364" s="2" t="n">
        <v>46</v>
      </c>
    </row>
    <row r="365" customFormat="false" ht="15" hidden="false" customHeight="false" outlineLevel="0" collapsed="false">
      <c r="A365" s="2" t="s">
        <v>383</v>
      </c>
      <c r="B365" s="2" t="s">
        <v>335</v>
      </c>
      <c r="C365" s="2" t="s">
        <v>16</v>
      </c>
      <c r="D365" s="2" t="n">
        <v>4.97</v>
      </c>
      <c r="E365" s="2"/>
      <c r="F365" s="2" t="n">
        <v>1353</v>
      </c>
      <c r="G365" s="2" t="n">
        <v>4</v>
      </c>
      <c r="H365" s="2" t="n">
        <v>46.6</v>
      </c>
    </row>
    <row r="366" customFormat="false" ht="15" hidden="false" customHeight="false" outlineLevel="0" collapsed="false">
      <c r="A366" s="2" t="s">
        <v>384</v>
      </c>
      <c r="B366" s="2" t="s">
        <v>335</v>
      </c>
      <c r="C366" s="2" t="s">
        <v>16</v>
      </c>
      <c r="D366" s="2" t="n">
        <v>3.03</v>
      </c>
      <c r="E366" s="2" t="n">
        <v>0.666666666666667</v>
      </c>
      <c r="F366" s="2" t="n">
        <v>210.9</v>
      </c>
      <c r="G366" s="2" t="n">
        <v>0</v>
      </c>
      <c r="H366" s="2" t="n">
        <v>66.4</v>
      </c>
    </row>
    <row r="367" customFormat="false" ht="15" hidden="false" customHeight="false" outlineLevel="0" collapsed="false">
      <c r="A367" s="2" t="s">
        <v>385</v>
      </c>
      <c r="B367" s="2" t="s">
        <v>335</v>
      </c>
      <c r="C367" s="2" t="s">
        <v>62</v>
      </c>
      <c r="D367" s="2" t="n">
        <v>9.75</v>
      </c>
      <c r="E367" s="2" t="n">
        <v>0.647058823529412</v>
      </c>
      <c r="F367" s="2" t="n">
        <v>1745.1</v>
      </c>
      <c r="G367" s="2" t="n">
        <v>3</v>
      </c>
      <c r="H367" s="2" t="n">
        <v>53.4</v>
      </c>
    </row>
    <row r="368" customFormat="false" ht="15" hidden="false" customHeight="false" outlineLevel="0" collapsed="false">
      <c r="A368" s="2" t="s">
        <v>386</v>
      </c>
      <c r="B368" s="2" t="s">
        <v>335</v>
      </c>
      <c r="C368" s="2" t="s">
        <v>62</v>
      </c>
      <c r="D368" s="2" t="n">
        <v>13.8</v>
      </c>
      <c r="E368" s="2" t="n">
        <v>0.9375</v>
      </c>
      <c r="F368" s="2" t="n">
        <v>902.8</v>
      </c>
      <c r="G368" s="2" t="n">
        <v>2</v>
      </c>
      <c r="H368" s="2" t="n">
        <v>36.3</v>
      </c>
    </row>
    <row r="369" customFormat="false" ht="15" hidden="false" customHeight="false" outlineLevel="0" collapsed="false">
      <c r="A369" s="2" t="s">
        <v>387</v>
      </c>
      <c r="B369" s="2" t="s">
        <v>335</v>
      </c>
      <c r="C369" s="2" t="s">
        <v>16</v>
      </c>
      <c r="D369" s="2" t="n">
        <v>4.88</v>
      </c>
      <c r="E369" s="2" t="n">
        <v>0.944444444444444</v>
      </c>
      <c r="F369" s="2" t="n">
        <v>568.6</v>
      </c>
      <c r="G369" s="2" t="n">
        <v>2</v>
      </c>
      <c r="H369" s="2" t="n">
        <v>32.8</v>
      </c>
    </row>
    <row r="370" customFormat="false" ht="15" hidden="false" customHeight="false" outlineLevel="0" collapsed="false">
      <c r="A370" s="2" t="s">
        <v>388</v>
      </c>
      <c r="B370" s="2" t="s">
        <v>335</v>
      </c>
      <c r="C370" s="2" t="s">
        <v>62</v>
      </c>
      <c r="D370" s="2" t="n">
        <v>15.04</v>
      </c>
      <c r="E370" s="2" t="n">
        <v>0.857142857142857</v>
      </c>
      <c r="F370" s="2" t="n">
        <v>437.9</v>
      </c>
      <c r="G370" s="2" t="n">
        <v>1</v>
      </c>
      <c r="H370" s="2" t="n">
        <v>67.1</v>
      </c>
    </row>
    <row r="371" customFormat="false" ht="15" hidden="false" customHeight="false" outlineLevel="0" collapsed="false">
      <c r="A371" s="2" t="s">
        <v>389</v>
      </c>
      <c r="B371" s="2" t="s">
        <v>335</v>
      </c>
      <c r="C371" s="2" t="s">
        <v>62</v>
      </c>
      <c r="D371" s="2" t="n">
        <v>12.52</v>
      </c>
      <c r="E371" s="2" t="n">
        <v>0.75</v>
      </c>
      <c r="F371" s="2" t="n">
        <v>498.6</v>
      </c>
      <c r="G371" s="2" t="n">
        <v>0</v>
      </c>
      <c r="H371" s="2" t="n">
        <v>74.5</v>
      </c>
    </row>
    <row r="372" customFormat="false" ht="15" hidden="false" customHeight="false" outlineLevel="0" collapsed="false">
      <c r="A372" s="2" t="s">
        <v>390</v>
      </c>
      <c r="B372" s="2" t="s">
        <v>335</v>
      </c>
      <c r="C372" s="2" t="s">
        <v>70</v>
      </c>
      <c r="D372" s="2" t="n">
        <v>1.89</v>
      </c>
      <c r="E372" s="2" t="n">
        <v>0.8</v>
      </c>
      <c r="F372" s="2" t="n">
        <v>424.2</v>
      </c>
      <c r="G372" s="2" t="n">
        <v>3</v>
      </c>
      <c r="H372" s="2" t="n">
        <v>42.5</v>
      </c>
    </row>
    <row r="373" customFormat="false" ht="15" hidden="false" customHeight="false" outlineLevel="0" collapsed="false">
      <c r="A373" s="2" t="s">
        <v>391</v>
      </c>
      <c r="B373" s="2" t="s">
        <v>335</v>
      </c>
      <c r="C373" s="2" t="s">
        <v>70</v>
      </c>
      <c r="D373" s="2" t="n">
        <v>2.01</v>
      </c>
      <c r="E373" s="2" t="n">
        <v>0.9</v>
      </c>
      <c r="F373" s="2" t="n">
        <v>511.8</v>
      </c>
      <c r="G373" s="2" t="n">
        <v>4</v>
      </c>
      <c r="H373" s="2" t="n">
        <v>38.5</v>
      </c>
    </row>
    <row r="374" customFormat="false" ht="15" hidden="false" customHeight="false" outlineLevel="0" collapsed="false">
      <c r="A374" s="2" t="s">
        <v>392</v>
      </c>
      <c r="B374" s="2" t="s">
        <v>335</v>
      </c>
      <c r="C374" s="2" t="s">
        <v>62</v>
      </c>
      <c r="D374" s="2" t="n">
        <v>17.57</v>
      </c>
      <c r="E374" s="2" t="n">
        <v>1</v>
      </c>
      <c r="F374" s="2" t="n">
        <v>214.2</v>
      </c>
      <c r="G374" s="2" t="n">
        <v>1</v>
      </c>
      <c r="H374" s="2" t="n">
        <v>41</v>
      </c>
    </row>
    <row r="375" customFormat="false" ht="15" hidden="false" customHeight="false" outlineLevel="0" collapsed="false">
      <c r="A375" s="2" t="s">
        <v>393</v>
      </c>
      <c r="B375" s="2" t="s">
        <v>335</v>
      </c>
      <c r="C375" s="2" t="s">
        <v>70</v>
      </c>
      <c r="D375" s="2" t="n">
        <v>1.7</v>
      </c>
      <c r="E375" s="2"/>
      <c r="F375" s="2" t="n">
        <v>386.1</v>
      </c>
      <c r="G375" s="2" t="n">
        <v>2</v>
      </c>
      <c r="H375" s="2" t="n">
        <v>59.4</v>
      </c>
    </row>
    <row r="376" customFormat="false" ht="15" hidden="false" customHeight="false" outlineLevel="0" collapsed="false">
      <c r="A376" s="2" t="s">
        <v>394</v>
      </c>
      <c r="B376" s="2" t="s">
        <v>335</v>
      </c>
      <c r="C376" s="2" t="s">
        <v>16</v>
      </c>
      <c r="D376" s="2" t="n">
        <v>4.39</v>
      </c>
      <c r="E376" s="2" t="n">
        <v>0.714285714285714</v>
      </c>
      <c r="F376" s="2" t="n">
        <v>218.7</v>
      </c>
      <c r="G376" s="2" t="n">
        <v>0</v>
      </c>
      <c r="H376" s="2" t="n">
        <v>64</v>
      </c>
    </row>
    <row r="377" customFormat="false" ht="15" hidden="false" customHeight="false" outlineLevel="0" collapsed="false">
      <c r="A377" s="2" t="s">
        <v>395</v>
      </c>
      <c r="B377" s="2" t="s">
        <v>335</v>
      </c>
      <c r="C377" s="2" t="s">
        <v>16</v>
      </c>
      <c r="D377" s="2" t="n">
        <v>3.23</v>
      </c>
      <c r="E377" s="2" t="n">
        <v>0.833333333333333</v>
      </c>
      <c r="F377" s="2" t="n">
        <v>894.3</v>
      </c>
      <c r="G377" s="2" t="n">
        <v>1</v>
      </c>
      <c r="H377" s="2" t="n">
        <v>37.4</v>
      </c>
    </row>
    <row r="378" customFormat="false" ht="15" hidden="false" customHeight="false" outlineLevel="0" collapsed="false">
      <c r="A378" s="2" t="s">
        <v>396</v>
      </c>
      <c r="B378" s="2" t="s">
        <v>335</v>
      </c>
      <c r="C378" s="2" t="s">
        <v>62</v>
      </c>
      <c r="D378" s="2" t="n">
        <v>7.78</v>
      </c>
      <c r="E378" s="2" t="n">
        <v>0.681818181818182</v>
      </c>
      <c r="F378" s="2" t="n">
        <v>1297.7</v>
      </c>
      <c r="G378" s="2" t="n">
        <v>2</v>
      </c>
      <c r="H378" s="2" t="n">
        <v>70.6</v>
      </c>
    </row>
    <row r="379" customFormat="false" ht="15" hidden="false" customHeight="false" outlineLevel="0" collapsed="false">
      <c r="A379" s="2" t="s">
        <v>397</v>
      </c>
      <c r="B379" s="2" t="s">
        <v>335</v>
      </c>
      <c r="C379" s="2" t="s">
        <v>62</v>
      </c>
      <c r="D379" s="2" t="n">
        <v>16.5</v>
      </c>
      <c r="E379" s="2" t="n">
        <v>1</v>
      </c>
      <c r="F379" s="2" t="n">
        <v>260.2</v>
      </c>
      <c r="G379" s="2" t="n">
        <v>5</v>
      </c>
      <c r="H379" s="2" t="n">
        <v>37.5</v>
      </c>
    </row>
    <row r="380" customFormat="false" ht="15" hidden="false" customHeight="false" outlineLevel="0" collapsed="false">
      <c r="A380" s="2" t="s">
        <v>398</v>
      </c>
      <c r="B380" s="2" t="s">
        <v>335</v>
      </c>
      <c r="C380" s="2" t="s">
        <v>70</v>
      </c>
      <c r="D380" s="2" t="n">
        <v>1.75</v>
      </c>
      <c r="E380" s="2" t="n">
        <v>0.875</v>
      </c>
      <c r="F380" s="2" t="n">
        <v>366.4</v>
      </c>
      <c r="G380" s="2" t="n">
        <v>4</v>
      </c>
      <c r="H380" s="2" t="n">
        <v>32.4</v>
      </c>
    </row>
    <row r="381" customFormat="false" ht="15" hidden="false" customHeight="false" outlineLevel="0" collapsed="false">
      <c r="A381" s="2" t="s">
        <v>399</v>
      </c>
      <c r="B381" s="2" t="s">
        <v>335</v>
      </c>
      <c r="C381" s="2" t="s">
        <v>62</v>
      </c>
      <c r="D381" s="2" t="n">
        <v>8.7</v>
      </c>
      <c r="E381" s="2" t="n">
        <v>0.6</v>
      </c>
      <c r="F381" s="2" t="n">
        <v>2073.5</v>
      </c>
      <c r="G381" s="2" t="n">
        <v>0</v>
      </c>
      <c r="H381" s="2" t="n">
        <v>61.2</v>
      </c>
    </row>
    <row r="382" customFormat="false" ht="15" hidden="false" customHeight="false" outlineLevel="0" collapsed="false">
      <c r="A382" s="2" t="s">
        <v>400</v>
      </c>
      <c r="B382" s="2" t="s">
        <v>335</v>
      </c>
      <c r="C382" s="2" t="s">
        <v>16</v>
      </c>
      <c r="D382" s="2" t="n">
        <v>4.8</v>
      </c>
      <c r="E382" s="2"/>
      <c r="F382" s="2" t="n">
        <v>0</v>
      </c>
      <c r="G382" s="2" t="n">
        <v>0</v>
      </c>
      <c r="H382" s="2" t="n">
        <v>57.4</v>
      </c>
    </row>
    <row r="383" customFormat="false" ht="15" hidden="false" customHeight="false" outlineLevel="0" collapsed="false">
      <c r="A383" s="2" t="s">
        <v>401</v>
      </c>
      <c r="B383" s="2" t="s">
        <v>335</v>
      </c>
      <c r="C383" s="2" t="s">
        <v>62</v>
      </c>
      <c r="D383" s="2" t="n">
        <v>6.99</v>
      </c>
      <c r="E383" s="2"/>
      <c r="F383" s="2" t="n">
        <v>0</v>
      </c>
      <c r="G383" s="2" t="n">
        <v>0</v>
      </c>
      <c r="H383" s="2" t="n">
        <v>48.1</v>
      </c>
    </row>
    <row r="384" customFormat="false" ht="15" hidden="false" customHeight="false" outlineLevel="0" collapsed="false">
      <c r="A384" s="2" t="s">
        <v>402</v>
      </c>
      <c r="B384" s="2" t="s">
        <v>335</v>
      </c>
      <c r="C384" s="2" t="s">
        <v>62</v>
      </c>
      <c r="D384" s="2" t="n">
        <v>7.67</v>
      </c>
      <c r="E384" s="2"/>
      <c r="F384" s="2" t="n">
        <v>0</v>
      </c>
      <c r="G384" s="2" t="n">
        <v>0</v>
      </c>
      <c r="H384" s="2" t="n">
        <v>48.1</v>
      </c>
    </row>
    <row r="385" customFormat="false" ht="15" hidden="false" customHeight="false" outlineLevel="0" collapsed="false">
      <c r="A385" s="2" t="s">
        <v>403</v>
      </c>
      <c r="B385" s="2" t="s">
        <v>335</v>
      </c>
      <c r="C385" s="2" t="s">
        <v>16</v>
      </c>
      <c r="D385" s="2" t="n">
        <v>3.45</v>
      </c>
      <c r="E385" s="2"/>
      <c r="F385" s="2" t="n">
        <v>0</v>
      </c>
      <c r="G385" s="2" t="n">
        <v>2</v>
      </c>
      <c r="H385" s="2" t="n">
        <v>48.1</v>
      </c>
    </row>
    <row r="386" customFormat="false" ht="15" hidden="false" customHeight="false" outlineLevel="0" collapsed="false">
      <c r="A386" s="2" t="s">
        <v>404</v>
      </c>
      <c r="B386" s="2" t="s">
        <v>335</v>
      </c>
      <c r="C386" s="2" t="s">
        <v>62</v>
      </c>
      <c r="D386" s="2" t="n">
        <v>7.66</v>
      </c>
      <c r="E386" s="2"/>
      <c r="F386" s="2" t="n">
        <v>0</v>
      </c>
      <c r="G386" s="2" t="n">
        <v>5</v>
      </c>
      <c r="H386" s="2" t="n">
        <v>48.1</v>
      </c>
    </row>
    <row r="387" customFormat="false" ht="15" hidden="false" customHeight="false" outlineLevel="0" collapsed="false">
      <c r="A387" s="2" t="s">
        <v>405</v>
      </c>
      <c r="B387" s="2" t="s">
        <v>335</v>
      </c>
      <c r="C387" s="2" t="s">
        <v>16</v>
      </c>
      <c r="D387" s="2" t="n">
        <v>3.53</v>
      </c>
      <c r="E387" s="2"/>
      <c r="F387" s="2" t="n">
        <v>0</v>
      </c>
      <c r="G387" s="2" t="n">
        <v>1</v>
      </c>
      <c r="H387" s="2" t="n">
        <v>44.9</v>
      </c>
    </row>
    <row r="388" customFormat="false" ht="15" hidden="false" customHeight="false" outlineLevel="0" collapsed="false">
      <c r="A388" s="2" t="s">
        <v>406</v>
      </c>
      <c r="B388" s="2" t="s">
        <v>335</v>
      </c>
      <c r="C388" s="2" t="s">
        <v>16</v>
      </c>
      <c r="D388" s="2" t="n">
        <v>3.7</v>
      </c>
      <c r="E388" s="2"/>
      <c r="F388" s="2" t="n">
        <v>0</v>
      </c>
      <c r="G388" s="2" t="n">
        <v>2</v>
      </c>
      <c r="H388" s="2" t="n">
        <v>48.1</v>
      </c>
    </row>
    <row r="389" customFormat="false" ht="15" hidden="false" customHeight="false" outlineLevel="0" collapsed="false">
      <c r="A389" s="2" t="s">
        <v>407</v>
      </c>
      <c r="B389" s="2" t="s">
        <v>335</v>
      </c>
      <c r="C389" s="2" t="s">
        <v>16</v>
      </c>
      <c r="D389" s="2" t="n">
        <v>4.26</v>
      </c>
      <c r="E389" s="2"/>
      <c r="F389" s="2" t="n">
        <v>0</v>
      </c>
      <c r="G389" s="2" t="n">
        <v>6</v>
      </c>
      <c r="H389" s="2" t="n">
        <v>48.1</v>
      </c>
    </row>
    <row r="390" customFormat="false" ht="15" hidden="false" customHeight="false" outlineLevel="0" collapsed="false">
      <c r="A390" s="2" t="s">
        <v>408</v>
      </c>
      <c r="B390" s="2" t="s">
        <v>335</v>
      </c>
      <c r="C390" s="2" t="s">
        <v>70</v>
      </c>
      <c r="D390" s="2" t="n">
        <v>2.67</v>
      </c>
      <c r="E390" s="2"/>
      <c r="F390" s="2" t="n">
        <v>0</v>
      </c>
      <c r="G390" s="2" t="n">
        <v>0</v>
      </c>
      <c r="H390" s="2" t="n">
        <v>58</v>
      </c>
    </row>
    <row r="391" customFormat="false" ht="15" hidden="false" customHeight="false" outlineLevel="0" collapsed="false">
      <c r="A391" s="2" t="s">
        <v>409</v>
      </c>
      <c r="B391" s="2" t="s">
        <v>335</v>
      </c>
      <c r="C391" s="2" t="s">
        <v>16</v>
      </c>
      <c r="D391" s="2" t="n">
        <v>3.42</v>
      </c>
      <c r="E391" s="2"/>
      <c r="F391" s="2" t="n">
        <v>0</v>
      </c>
      <c r="G391" s="2" t="n">
        <v>2</v>
      </c>
      <c r="H391" s="2" t="n">
        <v>57.4</v>
      </c>
    </row>
    <row r="392" customFormat="false" ht="15" hidden="false" customHeight="false" outlineLevel="0" collapsed="false">
      <c r="A392" s="2" t="s">
        <v>410</v>
      </c>
      <c r="B392" s="2" t="s">
        <v>335</v>
      </c>
      <c r="C392" s="2" t="s">
        <v>16</v>
      </c>
      <c r="D392" s="2" t="n">
        <v>4.62</v>
      </c>
      <c r="E392" s="2"/>
      <c r="F392" s="2" t="n">
        <v>0</v>
      </c>
      <c r="G392" s="2" t="n">
        <v>3</v>
      </c>
      <c r="H392" s="2" t="n">
        <v>48.1</v>
      </c>
    </row>
    <row r="393" customFormat="false" ht="15" hidden="false" customHeight="false" outlineLevel="0" collapsed="false">
      <c r="A393" s="2" t="s">
        <v>411</v>
      </c>
      <c r="B393" s="2" t="s">
        <v>335</v>
      </c>
      <c r="C393" s="2" t="s">
        <v>70</v>
      </c>
      <c r="D393" s="2" t="n">
        <v>2.4</v>
      </c>
      <c r="E393" s="2"/>
      <c r="F393" s="2" t="n">
        <v>0</v>
      </c>
      <c r="G393" s="2" t="n">
        <v>4</v>
      </c>
      <c r="H393" s="2" t="n">
        <v>48.1</v>
      </c>
    </row>
    <row r="394" customFormat="false" ht="15" hidden="false" customHeight="false" outlineLevel="0" collapsed="false">
      <c r="A394" s="2" t="s">
        <v>412</v>
      </c>
      <c r="B394" s="2" t="s">
        <v>335</v>
      </c>
      <c r="C394" s="2" t="s">
        <v>62</v>
      </c>
      <c r="D394" s="2" t="n">
        <v>16.91</v>
      </c>
      <c r="E394" s="2"/>
      <c r="F394" s="2" t="n">
        <v>0</v>
      </c>
      <c r="G394" s="2" t="n">
        <v>5</v>
      </c>
      <c r="H394" s="2" t="n">
        <v>57.4</v>
      </c>
    </row>
    <row r="395" customFormat="false" ht="15" hidden="false" customHeight="false" outlineLevel="0" collapsed="false">
      <c r="A395" s="2" t="s">
        <v>413</v>
      </c>
      <c r="B395" s="2" t="s">
        <v>335</v>
      </c>
      <c r="C395" s="2" t="s">
        <v>62</v>
      </c>
      <c r="D395" s="2" t="n">
        <v>8.87</v>
      </c>
      <c r="E395" s="2"/>
      <c r="F395" s="2" t="n">
        <v>0</v>
      </c>
      <c r="G395" s="2" t="n">
        <v>1</v>
      </c>
      <c r="H395" s="2" t="n">
        <v>48.1</v>
      </c>
    </row>
    <row r="396" customFormat="false" ht="15" hidden="false" customHeight="false" outlineLevel="0" collapsed="false">
      <c r="A396" s="2" t="s">
        <v>414</v>
      </c>
      <c r="B396" s="2" t="s">
        <v>335</v>
      </c>
      <c r="C396" s="2" t="s">
        <v>70</v>
      </c>
      <c r="D396" s="2" t="n">
        <v>1.23</v>
      </c>
      <c r="E396" s="2"/>
      <c r="F396" s="2" t="n">
        <v>0</v>
      </c>
      <c r="G396" s="2" t="n">
        <v>3</v>
      </c>
      <c r="H396" s="2" t="n">
        <v>48.1</v>
      </c>
    </row>
    <row r="397" customFormat="false" ht="15" hidden="false" customHeight="false" outlineLevel="0" collapsed="false">
      <c r="A397" s="2" t="s">
        <v>415</v>
      </c>
      <c r="B397" s="2" t="s">
        <v>335</v>
      </c>
      <c r="C397" s="2" t="s">
        <v>70</v>
      </c>
      <c r="D397" s="2" t="n">
        <v>1.28</v>
      </c>
      <c r="E397" s="2"/>
      <c r="F397" s="2" t="n">
        <v>0</v>
      </c>
      <c r="G397" s="2" t="n">
        <v>0</v>
      </c>
      <c r="H397" s="2" t="n">
        <v>48.1</v>
      </c>
    </row>
    <row r="398" customFormat="false" ht="15" hidden="false" customHeight="false" outlineLevel="0" collapsed="false">
      <c r="A398" s="2" t="s">
        <v>416</v>
      </c>
      <c r="B398" s="2" t="s">
        <v>335</v>
      </c>
      <c r="C398" s="2" t="s">
        <v>16</v>
      </c>
      <c r="D398" s="2" t="n">
        <v>3.76</v>
      </c>
      <c r="E398" s="2"/>
      <c r="F398" s="2" t="n">
        <v>0</v>
      </c>
      <c r="G398" s="2" t="n">
        <v>3</v>
      </c>
      <c r="H398" s="2" t="n">
        <v>48.1</v>
      </c>
    </row>
    <row r="399" customFormat="false" ht="15" hidden="false" customHeight="false" outlineLevel="0" collapsed="false">
      <c r="A399" s="2" t="s">
        <v>417</v>
      </c>
      <c r="B399" s="2" t="s">
        <v>335</v>
      </c>
      <c r="C399" s="2" t="s">
        <v>70</v>
      </c>
      <c r="D399" s="2" t="n">
        <v>2.4</v>
      </c>
      <c r="E399" s="2"/>
      <c r="F399" s="2" t="n">
        <v>0</v>
      </c>
      <c r="G399" s="2" t="n">
        <v>0</v>
      </c>
      <c r="H399" s="2" t="n">
        <v>57.4</v>
      </c>
    </row>
    <row r="400" customFormat="false" ht="15" hidden="false" customHeight="false" outlineLevel="0" collapsed="false">
      <c r="A400" s="2" t="s">
        <v>418</v>
      </c>
      <c r="B400" s="2" t="s">
        <v>335</v>
      </c>
      <c r="C400" s="2" t="s">
        <v>62</v>
      </c>
      <c r="D400" s="2" t="n">
        <v>5.12</v>
      </c>
      <c r="E400" s="2"/>
      <c r="F400" s="2" t="n">
        <v>0</v>
      </c>
      <c r="G400" s="2" t="n">
        <v>2</v>
      </c>
      <c r="H400" s="2" t="n">
        <v>48.1</v>
      </c>
    </row>
    <row r="401" customFormat="false" ht="15" hidden="false" customHeight="false" outlineLevel="0" collapsed="false">
      <c r="A401" s="2" t="s">
        <v>419</v>
      </c>
      <c r="B401" s="2" t="s">
        <v>335</v>
      </c>
      <c r="C401" s="2" t="s">
        <v>16</v>
      </c>
      <c r="D401" s="2" t="n">
        <v>4.3</v>
      </c>
      <c r="E401" s="2"/>
      <c r="F401" s="2" t="n">
        <v>0</v>
      </c>
      <c r="G401" s="2" t="n">
        <v>0</v>
      </c>
      <c r="H401" s="2" t="n">
        <v>57.4</v>
      </c>
    </row>
    <row r="402" customFormat="false" ht="15" hidden="false" customHeight="false" outlineLevel="0" collapsed="false">
      <c r="A402" s="2" t="s">
        <v>420</v>
      </c>
      <c r="B402" s="2" t="s">
        <v>335</v>
      </c>
      <c r="C402" s="2" t="s">
        <v>62</v>
      </c>
      <c r="D402" s="2" t="n">
        <v>9.59</v>
      </c>
      <c r="E402" s="2"/>
      <c r="F402" s="2" t="n">
        <v>0</v>
      </c>
      <c r="G402" s="2" t="n">
        <v>0</v>
      </c>
      <c r="H402" s="2" t="n">
        <v>48.1</v>
      </c>
    </row>
    <row r="403" customFormat="false" ht="15" hidden="false" customHeight="false" outlineLevel="0" collapsed="false">
      <c r="A403" s="2" t="s">
        <v>421</v>
      </c>
      <c r="B403" s="2" t="s">
        <v>335</v>
      </c>
      <c r="C403" s="2" t="s">
        <v>70</v>
      </c>
      <c r="D403" s="2" t="n">
        <v>1.04</v>
      </c>
      <c r="E403" s="2"/>
      <c r="F403" s="2" t="n">
        <v>0</v>
      </c>
      <c r="G403" s="2" t="n">
        <v>2</v>
      </c>
      <c r="H403" s="2" t="n">
        <v>48.1</v>
      </c>
    </row>
    <row r="404" customFormat="false" ht="15" hidden="false" customHeight="false" outlineLevel="0" collapsed="false">
      <c r="A404" s="2" t="s">
        <v>422</v>
      </c>
      <c r="B404" s="2" t="s">
        <v>335</v>
      </c>
      <c r="C404" s="2" t="s">
        <v>16</v>
      </c>
      <c r="D404" s="2" t="n">
        <v>4.15</v>
      </c>
      <c r="E404" s="2"/>
      <c r="F404" s="2" t="n">
        <v>0</v>
      </c>
      <c r="G404" s="2" t="n">
        <v>0</v>
      </c>
      <c r="H404" s="2" t="n">
        <v>57.4</v>
      </c>
    </row>
    <row r="405" customFormat="false" ht="15" hidden="false" customHeight="false" outlineLevel="0" collapsed="false">
      <c r="A405" s="2" t="s">
        <v>423</v>
      </c>
      <c r="B405" s="2" t="s">
        <v>335</v>
      </c>
      <c r="C405" s="2" t="s">
        <v>16</v>
      </c>
      <c r="D405" s="2" t="n">
        <v>4.67</v>
      </c>
      <c r="E405" s="2"/>
      <c r="F405" s="2" t="n">
        <v>0</v>
      </c>
      <c r="G405" s="2" t="n">
        <v>0</v>
      </c>
      <c r="H405" s="2" t="n">
        <v>46.1</v>
      </c>
    </row>
    <row r="406" customFormat="false" ht="15" hidden="false" customHeight="false" outlineLevel="0" collapsed="false">
      <c r="A406" s="2" t="s">
        <v>424</v>
      </c>
      <c r="B406" s="2" t="s">
        <v>335</v>
      </c>
      <c r="C406" s="2" t="s">
        <v>16</v>
      </c>
      <c r="D406" s="2" t="n">
        <v>3.68</v>
      </c>
      <c r="E406" s="2"/>
      <c r="F406" s="2" t="n">
        <v>0</v>
      </c>
      <c r="G406" s="2" t="n">
        <v>1</v>
      </c>
      <c r="H406" s="2" t="n">
        <v>48.1</v>
      </c>
    </row>
    <row r="407" customFormat="false" ht="15" hidden="false" customHeight="false" outlineLevel="0" collapsed="false">
      <c r="A407" s="2" t="s">
        <v>425</v>
      </c>
      <c r="B407" s="2" t="s">
        <v>335</v>
      </c>
      <c r="C407" s="2" t="s">
        <v>16</v>
      </c>
      <c r="D407" s="2" t="n">
        <v>4.94</v>
      </c>
      <c r="E407" s="2"/>
      <c r="F407" s="2" t="n">
        <v>0</v>
      </c>
      <c r="G407" s="2" t="n">
        <v>1</v>
      </c>
      <c r="H407" s="2" t="n">
        <v>44.9</v>
      </c>
    </row>
    <row r="408" customFormat="false" ht="15" hidden="false" customHeight="false" outlineLevel="0" collapsed="false">
      <c r="A408" s="2" t="s">
        <v>426</v>
      </c>
      <c r="B408" s="2" t="s">
        <v>335</v>
      </c>
      <c r="C408" s="2" t="s">
        <v>62</v>
      </c>
      <c r="D408" s="2" t="n">
        <v>18.51</v>
      </c>
      <c r="E408" s="2"/>
      <c r="F408" s="2" t="n">
        <v>0</v>
      </c>
      <c r="G408" s="2" t="n">
        <v>0</v>
      </c>
      <c r="H408" s="2" t="n">
        <v>48.1</v>
      </c>
    </row>
    <row r="409" customFormat="false" ht="15" hidden="false" customHeight="false" outlineLevel="0" collapsed="false">
      <c r="A409" s="2" t="s">
        <v>427</v>
      </c>
      <c r="B409" s="2" t="s">
        <v>335</v>
      </c>
      <c r="C409" s="2" t="s">
        <v>16</v>
      </c>
      <c r="D409" s="2" t="n">
        <v>4.55</v>
      </c>
      <c r="E409" s="2"/>
      <c r="F409" s="2" t="n">
        <v>0</v>
      </c>
      <c r="G409" s="2" t="n">
        <v>0</v>
      </c>
      <c r="H409" s="2" t="n">
        <v>48.1</v>
      </c>
    </row>
    <row r="410" customFormat="false" ht="15" hidden="false" customHeight="false" outlineLevel="0" collapsed="false">
      <c r="A410" s="2" t="s">
        <v>428</v>
      </c>
      <c r="B410" s="2" t="s">
        <v>335</v>
      </c>
      <c r="C410" s="2" t="s">
        <v>16</v>
      </c>
      <c r="D410" s="2" t="n">
        <v>3.06</v>
      </c>
      <c r="E410" s="2"/>
      <c r="F410" s="2" t="n">
        <v>0</v>
      </c>
      <c r="G410" s="2" t="n">
        <v>0</v>
      </c>
      <c r="H410" s="2" t="n">
        <v>48.1</v>
      </c>
    </row>
    <row r="411" customFormat="false" ht="15" hidden="false" customHeight="false" outlineLevel="0" collapsed="false">
      <c r="A411" s="2" t="s">
        <v>429</v>
      </c>
      <c r="B411" s="2" t="s">
        <v>335</v>
      </c>
      <c r="C411" s="2" t="s">
        <v>62</v>
      </c>
      <c r="D411" s="2" t="n">
        <v>18.3</v>
      </c>
      <c r="E411" s="2"/>
      <c r="F411" s="2" t="n">
        <v>0</v>
      </c>
      <c r="G411" s="2" t="n">
        <v>1</v>
      </c>
      <c r="H411" s="2" t="n">
        <v>48.1</v>
      </c>
    </row>
    <row r="412" customFormat="false" ht="15" hidden="false" customHeight="false" outlineLevel="0" collapsed="false">
      <c r="A412" s="2" t="s">
        <v>430</v>
      </c>
      <c r="B412" s="2" t="s">
        <v>335</v>
      </c>
      <c r="C412" s="2" t="s">
        <v>62</v>
      </c>
      <c r="D412" s="2" t="n">
        <v>7.98</v>
      </c>
      <c r="E412" s="2"/>
      <c r="F412" s="2" t="n">
        <v>0</v>
      </c>
      <c r="G412" s="2" t="n">
        <v>0</v>
      </c>
      <c r="H412" s="2" t="n">
        <v>46.4</v>
      </c>
    </row>
    <row r="413" customFormat="false" ht="15" hidden="false" customHeight="false" outlineLevel="0" collapsed="false">
      <c r="A413" s="2" t="s">
        <v>431</v>
      </c>
      <c r="B413" s="2" t="s">
        <v>335</v>
      </c>
      <c r="C413" s="2" t="s">
        <v>62</v>
      </c>
      <c r="D413" s="2" t="n">
        <v>6.95</v>
      </c>
      <c r="E413" s="2"/>
      <c r="F413" s="2" t="n">
        <v>0</v>
      </c>
      <c r="G413" s="2" t="n">
        <v>0</v>
      </c>
      <c r="H413" s="2" t="n">
        <v>48.1</v>
      </c>
    </row>
    <row r="414" customFormat="false" ht="15" hidden="false" customHeight="false" outlineLevel="0" collapsed="false">
      <c r="A414" s="2" t="s">
        <v>432</v>
      </c>
      <c r="B414" s="2" t="s">
        <v>335</v>
      </c>
      <c r="C414" s="2" t="s">
        <v>62</v>
      </c>
      <c r="D414" s="2" t="n">
        <v>19.55</v>
      </c>
      <c r="E414" s="2"/>
      <c r="F414" s="2" t="n">
        <v>0</v>
      </c>
      <c r="G414" s="2" t="n">
        <v>0</v>
      </c>
      <c r="H414" s="2" t="n">
        <v>48.1</v>
      </c>
    </row>
    <row r="415" customFormat="false" ht="15" hidden="false" customHeight="false" outlineLevel="0" collapsed="false">
      <c r="A415" s="2" t="s">
        <v>433</v>
      </c>
      <c r="B415" s="2" t="s">
        <v>335</v>
      </c>
      <c r="C415" s="2" t="s">
        <v>62</v>
      </c>
      <c r="D415" s="2" t="n">
        <v>17.02</v>
      </c>
      <c r="E415" s="2"/>
      <c r="F415" s="2" t="n">
        <v>0</v>
      </c>
      <c r="G415" s="2" t="n">
        <v>0</v>
      </c>
      <c r="H415" s="2" t="n">
        <v>48.1</v>
      </c>
    </row>
    <row r="416" customFormat="false" ht="15" hidden="false" customHeight="false" outlineLevel="0" collapsed="false">
      <c r="A416" s="2" t="s">
        <v>434</v>
      </c>
      <c r="B416" s="2" t="s">
        <v>335</v>
      </c>
      <c r="C416" s="2" t="s">
        <v>70</v>
      </c>
      <c r="D416" s="2" t="n">
        <v>1</v>
      </c>
      <c r="E416" s="2"/>
      <c r="F416" s="2" t="n">
        <v>0</v>
      </c>
      <c r="G416" s="2" t="n">
        <v>3</v>
      </c>
      <c r="H416" s="2" t="n">
        <v>48.1</v>
      </c>
    </row>
    <row r="417" customFormat="false" ht="15" hidden="false" customHeight="false" outlineLevel="0" collapsed="false">
      <c r="A417" s="2" t="s">
        <v>435</v>
      </c>
      <c r="B417" s="2" t="s">
        <v>335</v>
      </c>
      <c r="C417" s="2" t="s">
        <v>62</v>
      </c>
      <c r="D417" s="2" t="n">
        <v>9.52</v>
      </c>
      <c r="E417" s="2"/>
      <c r="F417" s="2" t="n">
        <v>0</v>
      </c>
      <c r="G417" s="2" t="n">
        <v>3</v>
      </c>
      <c r="H417" s="2" t="n">
        <v>48.1</v>
      </c>
    </row>
    <row r="418" customFormat="false" ht="15" hidden="false" customHeight="false" outlineLevel="0" collapsed="false">
      <c r="A418" s="2" t="s">
        <v>436</v>
      </c>
      <c r="B418" s="2" t="s">
        <v>335</v>
      </c>
      <c r="C418" s="2" t="s">
        <v>70</v>
      </c>
      <c r="D418" s="2" t="n">
        <v>1.41</v>
      </c>
      <c r="E418" s="2"/>
      <c r="F418" s="2" t="n">
        <v>0</v>
      </c>
      <c r="G418" s="2" t="n">
        <v>0</v>
      </c>
      <c r="H418" s="2" t="n">
        <v>46.4</v>
      </c>
    </row>
    <row r="419" customFormat="false" ht="15" hidden="false" customHeight="false" outlineLevel="0" collapsed="false">
      <c r="A419" s="2" t="s">
        <v>437</v>
      </c>
      <c r="B419" s="2" t="s">
        <v>335</v>
      </c>
      <c r="C419" s="2" t="s">
        <v>70</v>
      </c>
      <c r="D419" s="2" t="n">
        <v>2.37</v>
      </c>
      <c r="E419" s="2"/>
      <c r="F419" s="2" t="n">
        <v>0</v>
      </c>
      <c r="G419" s="2" t="n">
        <v>0</v>
      </c>
      <c r="H419" s="2" t="n">
        <v>46.6</v>
      </c>
    </row>
    <row r="420" customFormat="false" ht="15" hidden="false" customHeight="false" outlineLevel="0" collapsed="false">
      <c r="A420" s="2" t="s">
        <v>438</v>
      </c>
      <c r="B420" s="2" t="s">
        <v>335</v>
      </c>
      <c r="C420" s="2" t="s">
        <v>16</v>
      </c>
      <c r="D420" s="2" t="n">
        <v>3.95</v>
      </c>
      <c r="E420" s="2"/>
      <c r="F420" s="2" t="n">
        <v>0</v>
      </c>
      <c r="G420" s="2" t="n">
        <v>2</v>
      </c>
      <c r="H420" s="2" t="n">
        <v>48.1</v>
      </c>
    </row>
    <row r="421" customFormat="false" ht="15" hidden="false" customHeight="false" outlineLevel="0" collapsed="false">
      <c r="A421" s="2" t="s">
        <v>439</v>
      </c>
      <c r="B421" s="2" t="s">
        <v>335</v>
      </c>
      <c r="C421" s="2" t="s">
        <v>16</v>
      </c>
      <c r="D421" s="2" t="n">
        <v>4.37</v>
      </c>
      <c r="E421" s="2"/>
      <c r="F421" s="2" t="n">
        <v>0</v>
      </c>
      <c r="G421" s="2" t="n">
        <v>2</v>
      </c>
      <c r="H421" s="2" t="n">
        <v>48.1</v>
      </c>
    </row>
    <row r="422" customFormat="false" ht="15" hidden="false" customHeight="false" outlineLevel="0" collapsed="false">
      <c r="A422" s="2" t="s">
        <v>440</v>
      </c>
      <c r="B422" s="2" t="s">
        <v>441</v>
      </c>
      <c r="C422" s="2" t="s">
        <v>10</v>
      </c>
      <c r="D422" s="2" t="n">
        <v>29.09</v>
      </c>
      <c r="E422" s="2" t="n">
        <v>0.8</v>
      </c>
      <c r="F422" s="2" t="n">
        <v>230.6</v>
      </c>
      <c r="G422" s="2" t="n">
        <v>0</v>
      </c>
      <c r="H422" s="2" t="n">
        <v>45.9</v>
      </c>
    </row>
    <row r="423" customFormat="false" ht="15" hidden="false" customHeight="false" outlineLevel="0" collapsed="false">
      <c r="A423" s="2" t="s">
        <v>442</v>
      </c>
      <c r="B423" s="2" t="s">
        <v>441</v>
      </c>
      <c r="C423" s="2" t="s">
        <v>12</v>
      </c>
      <c r="D423" s="2" t="n">
        <v>14.09</v>
      </c>
      <c r="E423" s="2"/>
      <c r="F423" s="2" t="n">
        <v>1229.8</v>
      </c>
      <c r="G423" s="2" t="n">
        <v>2</v>
      </c>
      <c r="H423" s="2" t="n">
        <v>49</v>
      </c>
    </row>
    <row r="424" customFormat="false" ht="15" hidden="false" customHeight="false" outlineLevel="0" collapsed="false">
      <c r="A424" s="2" t="s">
        <v>443</v>
      </c>
      <c r="B424" s="2" t="s">
        <v>441</v>
      </c>
      <c r="C424" s="2" t="s">
        <v>12</v>
      </c>
      <c r="D424" s="2" t="n">
        <v>12.84</v>
      </c>
      <c r="E424" s="2" t="n">
        <v>0.8125</v>
      </c>
      <c r="F424" s="2" t="n">
        <v>1008.4</v>
      </c>
      <c r="G424" s="2" t="n">
        <v>1</v>
      </c>
      <c r="H424" s="2" t="n">
        <v>77.7</v>
      </c>
    </row>
    <row r="425" customFormat="false" ht="15" hidden="false" customHeight="false" outlineLevel="0" collapsed="false">
      <c r="A425" s="2" t="s">
        <v>444</v>
      </c>
      <c r="B425" s="2" t="s">
        <v>441</v>
      </c>
      <c r="C425" s="2" t="s">
        <v>62</v>
      </c>
      <c r="D425" s="2" t="n">
        <v>19.63</v>
      </c>
      <c r="E425" s="2"/>
      <c r="F425" s="2" t="n">
        <v>0</v>
      </c>
      <c r="G425" s="2" t="n">
        <v>0</v>
      </c>
      <c r="H425" s="2" t="n">
        <v>48.1</v>
      </c>
    </row>
    <row r="426" customFormat="false" ht="15" hidden="false" customHeight="false" outlineLevel="0" collapsed="false">
      <c r="A426" s="2" t="s">
        <v>445</v>
      </c>
      <c r="B426" s="2" t="s">
        <v>441</v>
      </c>
      <c r="C426" s="2" t="s">
        <v>12</v>
      </c>
      <c r="D426" s="2" t="n">
        <v>14.22</v>
      </c>
      <c r="E426" s="2"/>
      <c r="F426" s="2" t="n">
        <v>0</v>
      </c>
      <c r="G426" s="2" t="n">
        <v>4</v>
      </c>
      <c r="H426" s="2" t="n">
        <v>57.4</v>
      </c>
    </row>
    <row r="427" customFormat="false" ht="15" hidden="false" customHeight="false" outlineLevel="0" collapsed="false">
      <c r="A427" s="2" t="s">
        <v>446</v>
      </c>
      <c r="B427" s="2" t="s">
        <v>441</v>
      </c>
      <c r="C427" s="2" t="s">
        <v>19</v>
      </c>
      <c r="D427" s="2" t="n">
        <v>4.05</v>
      </c>
      <c r="E427" s="2" t="n">
        <v>0.9375</v>
      </c>
      <c r="F427" s="2" t="n">
        <v>1245.6</v>
      </c>
      <c r="G427" s="2" t="n">
        <v>1</v>
      </c>
      <c r="H427" s="2" t="n">
        <v>27</v>
      </c>
    </row>
    <row r="428" customFormat="false" ht="15" hidden="false" customHeight="false" outlineLevel="0" collapsed="false">
      <c r="A428" s="2" t="s">
        <v>447</v>
      </c>
      <c r="B428" s="2" t="s">
        <v>441</v>
      </c>
      <c r="C428" s="2" t="s">
        <v>24</v>
      </c>
      <c r="D428" s="2" t="n">
        <v>1.19</v>
      </c>
      <c r="E428" s="2" t="n">
        <v>0.857142857142857</v>
      </c>
      <c r="F428" s="2" t="n">
        <v>285.4</v>
      </c>
      <c r="G428" s="2" t="n">
        <v>0</v>
      </c>
      <c r="H428" s="2" t="n">
        <v>39.4</v>
      </c>
    </row>
    <row r="429" customFormat="false" ht="15" hidden="false" customHeight="false" outlineLevel="0" collapsed="false">
      <c r="A429" s="2" t="s">
        <v>448</v>
      </c>
      <c r="B429" s="2" t="s">
        <v>441</v>
      </c>
      <c r="C429" s="2" t="s">
        <v>19</v>
      </c>
      <c r="D429" s="2" t="n">
        <v>5.2</v>
      </c>
      <c r="E429" s="2" t="n">
        <v>0.68421052631579</v>
      </c>
      <c r="F429" s="2" t="n">
        <v>1690.6</v>
      </c>
      <c r="G429" s="2" t="n">
        <v>0</v>
      </c>
      <c r="H429" s="2" t="n">
        <v>59.9</v>
      </c>
    </row>
    <row r="430" customFormat="false" ht="15" hidden="false" customHeight="false" outlineLevel="0" collapsed="false">
      <c r="A430" s="2" t="s">
        <v>449</v>
      </c>
      <c r="B430" s="2" t="s">
        <v>441</v>
      </c>
      <c r="C430" s="2" t="s">
        <v>24</v>
      </c>
      <c r="D430" s="2" t="n">
        <v>2.95</v>
      </c>
      <c r="E430" s="2" t="n">
        <v>0.909090909090909</v>
      </c>
      <c r="F430" s="2" t="n">
        <v>1082.2</v>
      </c>
      <c r="G430" s="2" t="n">
        <v>0</v>
      </c>
      <c r="H430" s="2" t="n">
        <v>21.5</v>
      </c>
    </row>
    <row r="431" customFormat="false" ht="15" hidden="false" customHeight="false" outlineLevel="0" collapsed="false">
      <c r="A431" s="2" t="s">
        <v>450</v>
      </c>
      <c r="B431" s="2" t="s">
        <v>441</v>
      </c>
      <c r="C431" s="2" t="s">
        <v>24</v>
      </c>
      <c r="D431" s="2" t="n">
        <v>1.25</v>
      </c>
      <c r="E431" s="2" t="n">
        <v>0.5</v>
      </c>
      <c r="F431" s="2" t="n">
        <v>435.5</v>
      </c>
      <c r="G431" s="2" t="n">
        <v>2</v>
      </c>
      <c r="H431" s="2" t="n">
        <v>53.3</v>
      </c>
    </row>
    <row r="432" customFormat="false" ht="15" hidden="false" customHeight="false" outlineLevel="0" collapsed="false">
      <c r="A432" s="2" t="s">
        <v>451</v>
      </c>
      <c r="B432" s="2" t="s">
        <v>441</v>
      </c>
      <c r="C432" s="2" t="s">
        <v>19</v>
      </c>
      <c r="D432" s="2" t="n">
        <v>4.16</v>
      </c>
      <c r="E432" s="2"/>
      <c r="F432" s="2" t="n">
        <v>1335</v>
      </c>
      <c r="G432" s="2" t="n">
        <v>1</v>
      </c>
      <c r="H432" s="2" t="n">
        <v>37.2</v>
      </c>
    </row>
    <row r="433" customFormat="false" ht="15" hidden="false" customHeight="false" outlineLevel="0" collapsed="false">
      <c r="A433" s="2" t="s">
        <v>452</v>
      </c>
      <c r="B433" s="2" t="s">
        <v>441</v>
      </c>
      <c r="C433" s="2" t="s">
        <v>24</v>
      </c>
      <c r="D433" s="2" t="n">
        <v>2.52</v>
      </c>
      <c r="E433" s="2" t="n">
        <v>0.545454545454545</v>
      </c>
      <c r="F433" s="2" t="n">
        <v>775.5</v>
      </c>
      <c r="G433" s="2" t="n">
        <v>1</v>
      </c>
      <c r="H433" s="2" t="n">
        <v>58.5</v>
      </c>
    </row>
    <row r="434" customFormat="false" ht="15" hidden="false" customHeight="false" outlineLevel="0" collapsed="false">
      <c r="A434" s="2" t="s">
        <v>453</v>
      </c>
      <c r="B434" s="2" t="s">
        <v>441</v>
      </c>
      <c r="C434" s="2" t="s">
        <v>12</v>
      </c>
      <c r="D434" s="2" t="n">
        <v>12.24</v>
      </c>
      <c r="E434" s="2" t="n">
        <v>0.866666666666667</v>
      </c>
      <c r="F434" s="2" t="n">
        <v>1109.6</v>
      </c>
      <c r="G434" s="2" t="n">
        <v>0</v>
      </c>
      <c r="H434" s="2" t="n">
        <v>47.4</v>
      </c>
    </row>
    <row r="435" customFormat="false" ht="15" hidden="false" customHeight="false" outlineLevel="0" collapsed="false">
      <c r="A435" s="2" t="s">
        <v>454</v>
      </c>
      <c r="B435" s="2" t="s">
        <v>441</v>
      </c>
      <c r="C435" s="2" t="s">
        <v>12</v>
      </c>
      <c r="D435" s="2" t="n">
        <v>14.61</v>
      </c>
      <c r="E435" s="2"/>
      <c r="F435" s="2" t="n">
        <v>1437.9</v>
      </c>
      <c r="G435" s="2" t="n">
        <v>0</v>
      </c>
      <c r="H435" s="2" t="n">
        <v>38.3</v>
      </c>
    </row>
    <row r="436" customFormat="false" ht="15" hidden="false" customHeight="false" outlineLevel="0" collapsed="false">
      <c r="A436" s="2" t="s">
        <v>455</v>
      </c>
      <c r="B436" s="2" t="s">
        <v>441</v>
      </c>
      <c r="C436" s="2" t="s">
        <v>12</v>
      </c>
      <c r="D436" s="2" t="n">
        <v>13.97</v>
      </c>
      <c r="E436" s="2" t="n">
        <v>0.727272727272727</v>
      </c>
      <c r="F436" s="2" t="n">
        <v>785.3</v>
      </c>
      <c r="G436" s="2" t="n">
        <v>1</v>
      </c>
      <c r="H436" s="2" t="n">
        <v>65.2</v>
      </c>
    </row>
    <row r="437" customFormat="false" ht="15" hidden="false" customHeight="false" outlineLevel="0" collapsed="false">
      <c r="A437" s="2" t="s">
        <v>456</v>
      </c>
      <c r="B437" s="2" t="s">
        <v>441</v>
      </c>
      <c r="C437" s="2" t="s">
        <v>19</v>
      </c>
      <c r="D437" s="2" t="n">
        <v>5.86</v>
      </c>
      <c r="E437" s="2" t="n">
        <v>0.9375</v>
      </c>
      <c r="F437" s="2" t="n">
        <v>2004.3</v>
      </c>
      <c r="G437" s="2" t="n">
        <v>1</v>
      </c>
      <c r="H437" s="2" t="n">
        <v>18.5</v>
      </c>
    </row>
    <row r="438" customFormat="false" ht="15" hidden="false" customHeight="false" outlineLevel="0" collapsed="false">
      <c r="A438" s="2" t="s">
        <v>457</v>
      </c>
      <c r="B438" s="2" t="s">
        <v>441</v>
      </c>
      <c r="C438" s="2" t="s">
        <v>14</v>
      </c>
      <c r="D438" s="2" t="n">
        <v>7.37</v>
      </c>
      <c r="E438" s="2" t="n">
        <v>0.842105263157895</v>
      </c>
      <c r="F438" s="2" t="n">
        <v>1510.8</v>
      </c>
      <c r="G438" s="2" t="n">
        <v>1</v>
      </c>
      <c r="H438" s="2" t="n">
        <v>33.1</v>
      </c>
    </row>
    <row r="439" customFormat="false" ht="15" hidden="false" customHeight="false" outlineLevel="0" collapsed="false">
      <c r="A439" s="2" t="s">
        <v>458</v>
      </c>
      <c r="B439" s="2" t="s">
        <v>441</v>
      </c>
      <c r="C439" s="2" t="s">
        <v>14</v>
      </c>
      <c r="D439" s="2" t="n">
        <v>7.55</v>
      </c>
      <c r="E439" s="2"/>
      <c r="F439" s="2" t="n">
        <v>1514.3</v>
      </c>
      <c r="G439" s="2" t="n">
        <v>3</v>
      </c>
      <c r="H439" s="2" t="n">
        <v>29.8</v>
      </c>
    </row>
    <row r="440" customFormat="false" ht="15" hidden="false" customHeight="false" outlineLevel="0" collapsed="false">
      <c r="A440" s="2" t="s">
        <v>459</v>
      </c>
      <c r="B440" s="2" t="s">
        <v>441</v>
      </c>
      <c r="C440" s="2" t="s">
        <v>12</v>
      </c>
      <c r="D440" s="2" t="n">
        <v>12.01</v>
      </c>
      <c r="E440" s="2" t="n">
        <v>0.863636363636364</v>
      </c>
      <c r="F440" s="2" t="n">
        <v>1022.6</v>
      </c>
      <c r="G440" s="2" t="n">
        <v>1</v>
      </c>
      <c r="H440" s="2" t="n">
        <v>50.9</v>
      </c>
    </row>
    <row r="441" customFormat="false" ht="15" hidden="false" customHeight="false" outlineLevel="0" collapsed="false">
      <c r="A441" s="2" t="s">
        <v>460</v>
      </c>
      <c r="B441" s="2" t="s">
        <v>441</v>
      </c>
      <c r="C441" s="2" t="s">
        <v>24</v>
      </c>
      <c r="D441" s="2" t="n">
        <v>2.62</v>
      </c>
      <c r="E441" s="2"/>
      <c r="F441" s="2" t="n">
        <v>0</v>
      </c>
      <c r="G441" s="2" t="n">
        <v>2</v>
      </c>
      <c r="H441" s="2" t="n">
        <v>45.7</v>
      </c>
    </row>
    <row r="442" customFormat="false" ht="15" hidden="false" customHeight="false" outlineLevel="0" collapsed="false">
      <c r="A442" s="2" t="s">
        <v>461</v>
      </c>
      <c r="B442" s="2" t="s">
        <v>441</v>
      </c>
      <c r="C442" s="2" t="s">
        <v>24</v>
      </c>
      <c r="D442" s="2" t="n">
        <v>1.32</v>
      </c>
      <c r="E442" s="2"/>
      <c r="F442" s="2" t="n">
        <v>0</v>
      </c>
      <c r="G442" s="2" t="n">
        <v>0</v>
      </c>
      <c r="H442" s="2" t="n">
        <v>46.1</v>
      </c>
    </row>
    <row r="443" customFormat="false" ht="15" hidden="false" customHeight="false" outlineLevel="0" collapsed="false">
      <c r="A443" s="2" t="s">
        <v>462</v>
      </c>
      <c r="B443" s="2" t="s">
        <v>441</v>
      </c>
      <c r="C443" s="2" t="s">
        <v>12</v>
      </c>
      <c r="D443" s="2" t="n">
        <v>12.74</v>
      </c>
      <c r="E443" s="2"/>
      <c r="F443" s="2" t="n">
        <v>0</v>
      </c>
      <c r="G443" s="2" t="n">
        <v>1</v>
      </c>
      <c r="H443" s="2" t="n">
        <v>46.4</v>
      </c>
    </row>
    <row r="444" customFormat="false" ht="15" hidden="false" customHeight="false" outlineLevel="0" collapsed="false">
      <c r="A444" s="2" t="s">
        <v>463</v>
      </c>
      <c r="B444" s="2" t="s">
        <v>441</v>
      </c>
      <c r="C444" s="2" t="s">
        <v>24</v>
      </c>
      <c r="D444" s="2" t="n">
        <v>2.84</v>
      </c>
      <c r="E444" s="2"/>
      <c r="F444" s="2" t="n">
        <v>0</v>
      </c>
      <c r="G444" s="2" t="n">
        <v>2</v>
      </c>
      <c r="H444" s="2" t="n">
        <v>45.3</v>
      </c>
    </row>
    <row r="445" customFormat="false" ht="15" hidden="false" customHeight="false" outlineLevel="0" collapsed="false">
      <c r="A445" s="2" t="s">
        <v>464</v>
      </c>
      <c r="B445" s="2" t="s">
        <v>441</v>
      </c>
      <c r="C445" s="2" t="s">
        <v>24</v>
      </c>
      <c r="D445" s="2" t="n">
        <v>2.62</v>
      </c>
      <c r="E445" s="2"/>
      <c r="F445" s="2" t="n">
        <v>0</v>
      </c>
      <c r="G445" s="2" t="n">
        <v>1</v>
      </c>
      <c r="H445" s="2" t="n">
        <v>44.9</v>
      </c>
    </row>
    <row r="446" customFormat="false" ht="15" hidden="false" customHeight="false" outlineLevel="0" collapsed="false">
      <c r="A446" s="2" t="s">
        <v>465</v>
      </c>
      <c r="B446" s="2" t="s">
        <v>441</v>
      </c>
      <c r="C446" s="2" t="s">
        <v>14</v>
      </c>
      <c r="D446" s="2" t="n">
        <v>7.51</v>
      </c>
      <c r="E446" s="2"/>
      <c r="F446" s="2" t="n">
        <v>0</v>
      </c>
      <c r="G446" s="2" t="n">
        <v>3</v>
      </c>
      <c r="H446" s="2" t="n">
        <v>46.1</v>
      </c>
    </row>
    <row r="447" customFormat="false" ht="15" hidden="false" customHeight="false" outlineLevel="0" collapsed="false">
      <c r="A447" s="2" t="s">
        <v>466</v>
      </c>
      <c r="B447" s="2" t="s">
        <v>441</v>
      </c>
      <c r="C447" s="2" t="s">
        <v>14</v>
      </c>
      <c r="D447" s="2" t="n">
        <v>9.73</v>
      </c>
      <c r="E447" s="2" t="n">
        <v>1</v>
      </c>
      <c r="F447" s="2" t="n">
        <v>1167.6</v>
      </c>
      <c r="G447" s="2" t="n">
        <v>2</v>
      </c>
      <c r="H447" s="2" t="n">
        <v>45.4</v>
      </c>
    </row>
    <row r="448" customFormat="false" ht="15" hidden="false" customHeight="false" outlineLevel="0" collapsed="false">
      <c r="A448" s="2" t="s">
        <v>467</v>
      </c>
      <c r="B448" s="2" t="s">
        <v>441</v>
      </c>
      <c r="C448" s="2" t="s">
        <v>19</v>
      </c>
      <c r="D448" s="2" t="n">
        <v>5.36</v>
      </c>
      <c r="E448" s="2" t="n">
        <v>0.777777777777778</v>
      </c>
      <c r="F448" s="2" t="n">
        <v>136.1</v>
      </c>
      <c r="G448" s="2" t="n">
        <v>1</v>
      </c>
      <c r="H448" s="2" t="n">
        <v>73.7</v>
      </c>
    </row>
    <row r="449" customFormat="false" ht="15" hidden="false" customHeight="false" outlineLevel="0" collapsed="false">
      <c r="A449" s="2" t="s">
        <v>468</v>
      </c>
      <c r="B449" s="2" t="s">
        <v>441</v>
      </c>
      <c r="C449" s="2" t="s">
        <v>19</v>
      </c>
      <c r="D449" s="2" t="n">
        <v>5.46</v>
      </c>
      <c r="E449" s="2" t="n">
        <v>0.818181818181818</v>
      </c>
      <c r="F449" s="2" t="n">
        <v>606.4</v>
      </c>
      <c r="G449" s="2" t="n">
        <v>0</v>
      </c>
      <c r="H449" s="2" t="n">
        <v>61.2</v>
      </c>
    </row>
    <row r="450" customFormat="false" ht="15" hidden="false" customHeight="false" outlineLevel="0" collapsed="false">
      <c r="A450" s="2" t="s">
        <v>469</v>
      </c>
      <c r="B450" s="2" t="s">
        <v>441</v>
      </c>
      <c r="C450" s="2" t="s">
        <v>19</v>
      </c>
      <c r="D450" s="2" t="n">
        <v>4.48</v>
      </c>
      <c r="E450" s="2" t="n">
        <v>1</v>
      </c>
      <c r="F450" s="2" t="n">
        <v>1130.6</v>
      </c>
      <c r="G450" s="2" t="n">
        <v>2</v>
      </c>
      <c r="H450" s="2" t="n">
        <v>61.4</v>
      </c>
    </row>
    <row r="451" customFormat="false" ht="15" hidden="false" customHeight="false" outlineLevel="0" collapsed="false">
      <c r="A451" s="2" t="s">
        <v>470</v>
      </c>
      <c r="B451" s="2" t="s">
        <v>441</v>
      </c>
      <c r="C451" s="2" t="s">
        <v>19</v>
      </c>
      <c r="D451" s="2" t="n">
        <v>4.78</v>
      </c>
      <c r="E451" s="2" t="n">
        <v>0.909090909090909</v>
      </c>
      <c r="F451" s="2" t="n">
        <v>1600.5</v>
      </c>
      <c r="G451" s="2" t="n">
        <v>1</v>
      </c>
      <c r="H451" s="2" t="n">
        <v>41.7</v>
      </c>
    </row>
    <row r="452" customFormat="false" ht="15" hidden="false" customHeight="false" outlineLevel="0" collapsed="false">
      <c r="A452" s="2" t="s">
        <v>471</v>
      </c>
      <c r="B452" s="2" t="s">
        <v>441</v>
      </c>
      <c r="C452" s="2" t="s">
        <v>24</v>
      </c>
      <c r="D452" s="2" t="n">
        <v>1.27</v>
      </c>
      <c r="E452" s="2" t="n">
        <v>1</v>
      </c>
      <c r="F452" s="2" t="n">
        <v>399.4</v>
      </c>
      <c r="G452" s="2" t="n">
        <v>0</v>
      </c>
      <c r="H452" s="2" t="n">
        <v>29.1</v>
      </c>
    </row>
    <row r="453" customFormat="false" ht="15" hidden="false" customHeight="false" outlineLevel="0" collapsed="false">
      <c r="A453" s="2" t="s">
        <v>472</v>
      </c>
      <c r="B453" s="2" t="s">
        <v>441</v>
      </c>
      <c r="C453" s="2" t="s">
        <v>19</v>
      </c>
      <c r="D453" s="2" t="n">
        <v>5.16</v>
      </c>
      <c r="E453" s="2"/>
      <c r="F453" s="2" t="n">
        <v>1042.5</v>
      </c>
      <c r="G453" s="2" t="n">
        <v>2</v>
      </c>
      <c r="H453" s="2" t="n">
        <v>74.4</v>
      </c>
    </row>
    <row r="454" customFormat="false" ht="15" hidden="false" customHeight="false" outlineLevel="0" collapsed="false">
      <c r="A454" s="2" t="s">
        <v>473</v>
      </c>
      <c r="B454" s="2" t="s">
        <v>441</v>
      </c>
      <c r="C454" s="2" t="s">
        <v>19</v>
      </c>
      <c r="D454" s="2" t="n">
        <v>5.78</v>
      </c>
      <c r="E454" s="2" t="n">
        <v>1</v>
      </c>
      <c r="F454" s="2" t="n">
        <v>1617.7</v>
      </c>
      <c r="G454" s="2" t="n">
        <v>2</v>
      </c>
      <c r="H454" s="2" t="n">
        <v>48.2</v>
      </c>
    </row>
    <row r="455" customFormat="false" ht="15" hidden="false" customHeight="false" outlineLevel="0" collapsed="false">
      <c r="A455" s="2" t="s">
        <v>474</v>
      </c>
      <c r="B455" s="2" t="s">
        <v>441</v>
      </c>
      <c r="C455" s="2" t="s">
        <v>24</v>
      </c>
      <c r="D455" s="2" t="n">
        <v>2.21</v>
      </c>
      <c r="E455" s="2" t="n">
        <v>1</v>
      </c>
      <c r="F455" s="2" t="n">
        <v>612.1</v>
      </c>
      <c r="G455" s="2" t="n">
        <v>4</v>
      </c>
      <c r="H455" s="2" t="n">
        <v>16</v>
      </c>
    </row>
    <row r="456" customFormat="false" ht="15" hidden="false" customHeight="false" outlineLevel="0" collapsed="false">
      <c r="A456" s="2" t="s">
        <v>475</v>
      </c>
      <c r="B456" s="2" t="s">
        <v>441</v>
      </c>
      <c r="C456" s="2" t="s">
        <v>24</v>
      </c>
      <c r="D456" s="2" t="n">
        <v>2.18</v>
      </c>
      <c r="E456" s="2" t="n">
        <v>1</v>
      </c>
      <c r="F456" s="2" t="n">
        <v>474.4</v>
      </c>
      <c r="G456" s="2" t="n">
        <v>0</v>
      </c>
      <c r="H456" s="2" t="n">
        <v>24.6</v>
      </c>
    </row>
    <row r="457" customFormat="false" ht="15" hidden="false" customHeight="false" outlineLevel="0" collapsed="false">
      <c r="A457" s="2" t="s">
        <v>476</v>
      </c>
      <c r="B457" s="2" t="s">
        <v>441</v>
      </c>
      <c r="C457" s="2" t="s">
        <v>14</v>
      </c>
      <c r="D457" s="2" t="n">
        <v>9.31</v>
      </c>
      <c r="E457" s="2" t="n">
        <v>0.956521739130435</v>
      </c>
      <c r="F457" s="2" t="n">
        <v>2805.6</v>
      </c>
      <c r="G457" s="2" t="n">
        <v>3</v>
      </c>
      <c r="H457" s="2" t="n">
        <v>47.1</v>
      </c>
    </row>
    <row r="458" customFormat="false" ht="15" hidden="false" customHeight="false" outlineLevel="0" collapsed="false">
      <c r="A458" s="2" t="s">
        <v>477</v>
      </c>
      <c r="B458" s="2" t="s">
        <v>441</v>
      </c>
      <c r="C458" s="2" t="s">
        <v>19</v>
      </c>
      <c r="D458" s="2" t="n">
        <v>5.93</v>
      </c>
      <c r="E458" s="2" t="n">
        <v>0.714285714285714</v>
      </c>
      <c r="F458" s="2" t="n">
        <v>484.9</v>
      </c>
      <c r="G458" s="2" t="n">
        <v>2</v>
      </c>
      <c r="H458" s="2" t="n">
        <v>69.3</v>
      </c>
    </row>
    <row r="459" customFormat="false" ht="15" hidden="false" customHeight="false" outlineLevel="0" collapsed="false">
      <c r="A459" s="2" t="s">
        <v>478</v>
      </c>
      <c r="B459" s="2" t="s">
        <v>441</v>
      </c>
      <c r="C459" s="2" t="s">
        <v>14</v>
      </c>
      <c r="D459" s="2" t="n">
        <v>7.92</v>
      </c>
      <c r="E459" s="2" t="n">
        <v>0.9375</v>
      </c>
      <c r="F459" s="2" t="n">
        <v>742.8</v>
      </c>
      <c r="G459" s="2" t="n">
        <v>0</v>
      </c>
      <c r="H459" s="2" t="n">
        <v>38.8</v>
      </c>
    </row>
    <row r="460" customFormat="false" ht="15" hidden="false" customHeight="false" outlineLevel="0" collapsed="false">
      <c r="A460" s="2" t="s">
        <v>479</v>
      </c>
      <c r="B460" s="2" t="s">
        <v>441</v>
      </c>
      <c r="C460" s="2" t="s">
        <v>24</v>
      </c>
      <c r="D460" s="2" t="n">
        <v>1.14</v>
      </c>
      <c r="E460" s="2" t="n">
        <v>0.727272727272727</v>
      </c>
      <c r="F460" s="2" t="n">
        <v>270.5</v>
      </c>
      <c r="G460" s="2" t="n">
        <v>0</v>
      </c>
      <c r="H460" s="2" t="n">
        <v>57.5</v>
      </c>
    </row>
    <row r="461" customFormat="false" ht="15" hidden="false" customHeight="false" outlineLevel="0" collapsed="false">
      <c r="A461" s="2" t="s">
        <v>480</v>
      </c>
      <c r="B461" s="2" t="s">
        <v>441</v>
      </c>
      <c r="C461" s="2" t="s">
        <v>12</v>
      </c>
      <c r="D461" s="2" t="n">
        <v>12.83</v>
      </c>
      <c r="E461" s="2" t="n">
        <v>0.846153846153846</v>
      </c>
      <c r="F461" s="2" t="n">
        <v>1746.2</v>
      </c>
      <c r="G461" s="2" t="n">
        <v>4</v>
      </c>
      <c r="H461" s="2" t="n">
        <v>62.3</v>
      </c>
    </row>
    <row r="462" customFormat="false" ht="15" hidden="false" customHeight="false" outlineLevel="0" collapsed="false">
      <c r="A462" s="2" t="s">
        <v>481</v>
      </c>
      <c r="B462" s="2" t="s">
        <v>441</v>
      </c>
      <c r="C462" s="2" t="s">
        <v>24</v>
      </c>
      <c r="D462" s="2" t="n">
        <v>1.42</v>
      </c>
      <c r="E462" s="2" t="n">
        <v>0.8</v>
      </c>
      <c r="F462" s="2" t="n">
        <v>276</v>
      </c>
      <c r="G462" s="2" t="n">
        <v>1</v>
      </c>
      <c r="H462" s="2" t="n">
        <v>66.3</v>
      </c>
    </row>
    <row r="463" customFormat="false" ht="15" hidden="false" customHeight="false" outlineLevel="0" collapsed="false">
      <c r="A463" s="2" t="s">
        <v>482</v>
      </c>
      <c r="B463" s="2" t="s">
        <v>441</v>
      </c>
      <c r="C463" s="2" t="s">
        <v>14</v>
      </c>
      <c r="D463" s="2" t="n">
        <v>8.65</v>
      </c>
      <c r="E463" s="2" t="n">
        <v>0.875</v>
      </c>
      <c r="F463" s="2" t="n">
        <v>216.4</v>
      </c>
      <c r="G463" s="2" t="n">
        <v>0</v>
      </c>
      <c r="H463" s="2" t="n">
        <v>48.8</v>
      </c>
    </row>
    <row r="464" customFormat="false" ht="15" hidden="false" customHeight="false" outlineLevel="0" collapsed="false">
      <c r="A464" s="2" t="s">
        <v>483</v>
      </c>
      <c r="B464" s="2" t="s">
        <v>441</v>
      </c>
      <c r="C464" s="2" t="s">
        <v>19</v>
      </c>
      <c r="D464" s="2" t="n">
        <v>4.29</v>
      </c>
      <c r="E464" s="2" t="n">
        <v>0.866666666666667</v>
      </c>
      <c r="F464" s="2" t="n">
        <v>743.5</v>
      </c>
      <c r="G464" s="2" t="n">
        <v>2</v>
      </c>
      <c r="H464" s="2" t="n">
        <v>50</v>
      </c>
    </row>
    <row r="465" customFormat="false" ht="15" hidden="false" customHeight="false" outlineLevel="0" collapsed="false">
      <c r="A465" s="2" t="s">
        <v>484</v>
      </c>
      <c r="B465" s="2" t="s">
        <v>441</v>
      </c>
      <c r="C465" s="2" t="s">
        <v>24</v>
      </c>
      <c r="D465" s="2" t="n">
        <v>1.74</v>
      </c>
      <c r="E465" s="2" t="n">
        <v>0.833333333333333</v>
      </c>
      <c r="F465" s="2" t="n">
        <v>264.5</v>
      </c>
      <c r="G465" s="2" t="n">
        <v>4</v>
      </c>
      <c r="H465" s="2" t="n">
        <v>40.6</v>
      </c>
    </row>
    <row r="466" customFormat="false" ht="15" hidden="false" customHeight="false" outlineLevel="0" collapsed="false">
      <c r="A466" s="2" t="s">
        <v>485</v>
      </c>
      <c r="B466" s="2" t="s">
        <v>441</v>
      </c>
      <c r="C466" s="2" t="s">
        <v>19</v>
      </c>
      <c r="D466" s="2" t="n">
        <v>5.04</v>
      </c>
      <c r="E466" s="2" t="n">
        <v>1</v>
      </c>
      <c r="F466" s="2" t="n">
        <v>348.8</v>
      </c>
      <c r="G466" s="2" t="n">
        <v>1</v>
      </c>
      <c r="H466" s="2" t="n">
        <v>40.2</v>
      </c>
    </row>
    <row r="467" customFormat="false" ht="15" hidden="false" customHeight="false" outlineLevel="0" collapsed="false">
      <c r="A467" s="2" t="s">
        <v>486</v>
      </c>
      <c r="B467" s="2" t="s">
        <v>441</v>
      </c>
      <c r="C467" s="2" t="s">
        <v>16</v>
      </c>
      <c r="D467" s="2" t="n">
        <v>4.72</v>
      </c>
      <c r="E467" s="2" t="n">
        <v>0.909090909090909</v>
      </c>
      <c r="F467" s="2" t="n">
        <v>986.8</v>
      </c>
      <c r="G467" s="2" t="n">
        <v>2</v>
      </c>
      <c r="H467" s="2" t="n">
        <v>40.5</v>
      </c>
    </row>
    <row r="468" customFormat="false" ht="15" hidden="false" customHeight="false" outlineLevel="0" collapsed="false">
      <c r="A468" s="2" t="s">
        <v>487</v>
      </c>
      <c r="B468" s="2" t="s">
        <v>441</v>
      </c>
      <c r="C468" s="2" t="s">
        <v>16</v>
      </c>
      <c r="D468" s="2" t="n">
        <v>3.38</v>
      </c>
      <c r="E468" s="2" t="n">
        <v>0.714285714285714</v>
      </c>
      <c r="F468" s="2" t="n">
        <v>850.4</v>
      </c>
      <c r="G468" s="2" t="n">
        <v>3</v>
      </c>
      <c r="H468" s="2" t="n">
        <v>51.7</v>
      </c>
    </row>
    <row r="469" customFormat="false" ht="15" hidden="false" customHeight="false" outlineLevel="0" collapsed="false">
      <c r="A469" s="2" t="s">
        <v>488</v>
      </c>
      <c r="B469" s="2" t="s">
        <v>441</v>
      </c>
      <c r="C469" s="2" t="s">
        <v>62</v>
      </c>
      <c r="D469" s="2" t="n">
        <v>8.64</v>
      </c>
      <c r="E469" s="2" t="n">
        <v>0.7</v>
      </c>
      <c r="F469" s="2" t="n">
        <v>1173</v>
      </c>
      <c r="G469" s="2" t="n">
        <v>3</v>
      </c>
      <c r="H469" s="2" t="n">
        <v>73.3</v>
      </c>
    </row>
    <row r="470" customFormat="false" ht="15" hidden="false" customHeight="false" outlineLevel="0" collapsed="false">
      <c r="A470" s="2" t="s">
        <v>489</v>
      </c>
      <c r="B470" s="2" t="s">
        <v>441</v>
      </c>
      <c r="C470" s="2" t="s">
        <v>70</v>
      </c>
      <c r="D470" s="2" t="n">
        <v>1.1</v>
      </c>
      <c r="E470" s="2" t="n">
        <v>0.75</v>
      </c>
      <c r="F470" s="2" t="n">
        <v>269.8</v>
      </c>
      <c r="G470" s="2" t="n">
        <v>2</v>
      </c>
      <c r="H470" s="2" t="n">
        <v>37.6</v>
      </c>
    </row>
    <row r="471" customFormat="false" ht="15" hidden="false" customHeight="false" outlineLevel="0" collapsed="false">
      <c r="A471" s="2" t="s">
        <v>490</v>
      </c>
      <c r="B471" s="2" t="s">
        <v>441</v>
      </c>
      <c r="C471" s="2" t="s">
        <v>16</v>
      </c>
      <c r="D471" s="2" t="n">
        <v>3.12</v>
      </c>
      <c r="E471" s="2" t="n">
        <v>0.823529411764706</v>
      </c>
      <c r="F471" s="2" t="n">
        <v>733.7</v>
      </c>
      <c r="G471" s="2" t="n">
        <v>0</v>
      </c>
      <c r="H471" s="2" t="n">
        <v>43.9</v>
      </c>
    </row>
    <row r="472" customFormat="false" ht="15" hidden="false" customHeight="false" outlineLevel="0" collapsed="false">
      <c r="A472" s="2" t="s">
        <v>491</v>
      </c>
      <c r="B472" s="2" t="s">
        <v>441</v>
      </c>
      <c r="C472" s="2" t="s">
        <v>70</v>
      </c>
      <c r="D472" s="2" t="n">
        <v>1.92</v>
      </c>
      <c r="E472" s="2"/>
      <c r="F472" s="2" t="n">
        <v>518.2</v>
      </c>
      <c r="G472" s="2" t="n">
        <v>3</v>
      </c>
      <c r="H472" s="2" t="n">
        <v>42.6</v>
      </c>
    </row>
    <row r="473" customFormat="false" ht="15" hidden="false" customHeight="false" outlineLevel="0" collapsed="false">
      <c r="A473" s="2" t="s">
        <v>492</v>
      </c>
      <c r="B473" s="2" t="s">
        <v>441</v>
      </c>
      <c r="C473" s="2" t="s">
        <v>16</v>
      </c>
      <c r="D473" s="2" t="n">
        <v>4.76</v>
      </c>
      <c r="E473" s="2" t="n">
        <v>0.8</v>
      </c>
      <c r="F473" s="2" t="n">
        <v>611.3</v>
      </c>
      <c r="G473" s="2" t="n">
        <v>0</v>
      </c>
      <c r="H473" s="2" t="n">
        <v>77.8</v>
      </c>
    </row>
    <row r="474" customFormat="false" ht="15" hidden="false" customHeight="false" outlineLevel="0" collapsed="false">
      <c r="A474" s="2" t="s">
        <v>493</v>
      </c>
      <c r="B474" s="2" t="s">
        <v>441</v>
      </c>
      <c r="C474" s="2" t="s">
        <v>70</v>
      </c>
      <c r="D474" s="2" t="n">
        <v>1.85</v>
      </c>
      <c r="E474" s="2" t="n">
        <v>1</v>
      </c>
      <c r="F474" s="2" t="n">
        <v>398.2</v>
      </c>
      <c r="G474" s="2" t="n">
        <v>0</v>
      </c>
      <c r="H474" s="2" t="n">
        <v>49.4</v>
      </c>
    </row>
    <row r="475" customFormat="false" ht="15" hidden="false" customHeight="false" outlineLevel="0" collapsed="false">
      <c r="A475" s="2" t="s">
        <v>494</v>
      </c>
      <c r="B475" s="2" t="s">
        <v>441</v>
      </c>
      <c r="C475" s="2" t="s">
        <v>62</v>
      </c>
      <c r="D475" s="2" t="n">
        <v>12.94</v>
      </c>
      <c r="E475" s="2" t="n">
        <v>0.933333333333333</v>
      </c>
      <c r="F475" s="2" t="n">
        <v>346.7</v>
      </c>
      <c r="G475" s="2" t="n">
        <v>0</v>
      </c>
      <c r="H475" s="2" t="n">
        <v>43.2</v>
      </c>
    </row>
    <row r="476" customFormat="false" ht="15" hidden="false" customHeight="false" outlineLevel="0" collapsed="false">
      <c r="A476" s="2" t="s">
        <v>495</v>
      </c>
      <c r="B476" s="2" t="s">
        <v>441</v>
      </c>
      <c r="C476" s="2" t="s">
        <v>16</v>
      </c>
      <c r="D476" s="2" t="n">
        <v>4.29</v>
      </c>
      <c r="E476" s="2" t="n">
        <v>0.857142857142857</v>
      </c>
      <c r="F476" s="2" t="n">
        <v>1427.2</v>
      </c>
      <c r="G476" s="2" t="n">
        <v>1</v>
      </c>
      <c r="H476" s="2" t="n">
        <v>52.3</v>
      </c>
    </row>
    <row r="477" customFormat="false" ht="15" hidden="false" customHeight="false" outlineLevel="0" collapsed="false">
      <c r="A477" s="2" t="s">
        <v>496</v>
      </c>
      <c r="B477" s="2" t="s">
        <v>441</v>
      </c>
      <c r="C477" s="2" t="s">
        <v>16</v>
      </c>
      <c r="D477" s="2" t="n">
        <v>3.55</v>
      </c>
      <c r="E477" s="2" t="n">
        <v>1</v>
      </c>
      <c r="F477" s="2" t="n">
        <v>966.5</v>
      </c>
      <c r="G477" s="2" t="n">
        <v>1</v>
      </c>
      <c r="H477" s="2" t="n">
        <v>18.3</v>
      </c>
    </row>
    <row r="478" customFormat="false" ht="15" hidden="false" customHeight="false" outlineLevel="0" collapsed="false">
      <c r="A478" s="2" t="s">
        <v>497</v>
      </c>
      <c r="B478" s="2" t="s">
        <v>441</v>
      </c>
      <c r="C478" s="2" t="s">
        <v>16</v>
      </c>
      <c r="D478" s="2" t="n">
        <v>3.32</v>
      </c>
      <c r="E478" s="2" t="n">
        <v>0.928571428571429</v>
      </c>
      <c r="F478" s="2" t="n">
        <v>779.3</v>
      </c>
      <c r="G478" s="2" t="n">
        <v>0</v>
      </c>
      <c r="H478" s="2" t="n">
        <v>41.8</v>
      </c>
    </row>
    <row r="479" customFormat="false" ht="15" hidden="false" customHeight="false" outlineLevel="0" collapsed="false">
      <c r="A479" s="2" t="s">
        <v>498</v>
      </c>
      <c r="B479" s="2" t="s">
        <v>441</v>
      </c>
      <c r="C479" s="2" t="s">
        <v>62</v>
      </c>
      <c r="D479" s="2" t="n">
        <v>5.26</v>
      </c>
      <c r="E479" s="2"/>
      <c r="F479" s="2" t="n">
        <v>271.1</v>
      </c>
      <c r="G479" s="2" t="n">
        <v>1</v>
      </c>
      <c r="H479" s="2" t="n">
        <v>47.6</v>
      </c>
    </row>
    <row r="480" customFormat="false" ht="15" hidden="false" customHeight="false" outlineLevel="0" collapsed="false">
      <c r="A480" s="2" t="s">
        <v>499</v>
      </c>
      <c r="B480" s="2" t="s">
        <v>441</v>
      </c>
      <c r="C480" s="2" t="s">
        <v>16</v>
      </c>
      <c r="D480" s="2" t="n">
        <v>3.44</v>
      </c>
      <c r="E480" s="2"/>
      <c r="F480" s="2" t="n">
        <v>421.6</v>
      </c>
      <c r="G480" s="2" t="n">
        <v>0</v>
      </c>
      <c r="H480" s="2" t="n">
        <v>63.1</v>
      </c>
    </row>
    <row r="481" customFormat="false" ht="15" hidden="false" customHeight="false" outlineLevel="0" collapsed="false">
      <c r="A481" s="2" t="s">
        <v>500</v>
      </c>
      <c r="B481" s="2" t="s">
        <v>441</v>
      </c>
      <c r="C481" s="2" t="s">
        <v>16</v>
      </c>
      <c r="D481" s="2" t="n">
        <v>4.87</v>
      </c>
      <c r="E481" s="2" t="n">
        <v>0.8</v>
      </c>
      <c r="F481" s="2" t="n">
        <v>1738.5</v>
      </c>
      <c r="G481" s="2" t="n">
        <v>0</v>
      </c>
      <c r="H481" s="2" t="n">
        <v>58.3</v>
      </c>
    </row>
    <row r="482" customFormat="false" ht="15" hidden="false" customHeight="false" outlineLevel="0" collapsed="false">
      <c r="A482" s="2" t="s">
        <v>501</v>
      </c>
      <c r="B482" s="2" t="s">
        <v>441</v>
      </c>
      <c r="C482" s="2" t="s">
        <v>62</v>
      </c>
      <c r="D482" s="2" t="n">
        <v>12.83</v>
      </c>
      <c r="E482" s="2" t="n">
        <v>0.909090909090909</v>
      </c>
      <c r="F482" s="2" t="n">
        <v>334</v>
      </c>
      <c r="G482" s="2" t="n">
        <v>0</v>
      </c>
      <c r="H482" s="2" t="n">
        <v>49.7</v>
      </c>
    </row>
    <row r="483" customFormat="false" ht="15" hidden="false" customHeight="false" outlineLevel="0" collapsed="false">
      <c r="A483" s="2" t="s">
        <v>502</v>
      </c>
      <c r="B483" s="2" t="s">
        <v>441</v>
      </c>
      <c r="C483" s="2" t="s">
        <v>70</v>
      </c>
      <c r="D483" s="2" t="n">
        <v>2.32</v>
      </c>
      <c r="E483" s="2" t="n">
        <v>0.75</v>
      </c>
      <c r="F483" s="2" t="n">
        <v>244.2</v>
      </c>
      <c r="G483" s="2" t="n">
        <v>0</v>
      </c>
      <c r="H483" s="2" t="n">
        <v>52.3</v>
      </c>
    </row>
    <row r="484" customFormat="false" ht="15" hidden="false" customHeight="false" outlineLevel="0" collapsed="false">
      <c r="A484" s="2" t="s">
        <v>503</v>
      </c>
      <c r="B484" s="2" t="s">
        <v>441</v>
      </c>
      <c r="C484" s="2" t="s">
        <v>62</v>
      </c>
      <c r="D484" s="2" t="n">
        <v>5.3</v>
      </c>
      <c r="E484" s="2"/>
      <c r="F484" s="2" t="n">
        <v>2328.6</v>
      </c>
      <c r="G484" s="2" t="n">
        <v>0</v>
      </c>
      <c r="H484" s="2" t="n">
        <v>43.5</v>
      </c>
    </row>
    <row r="485" customFormat="false" ht="15" hidden="false" customHeight="false" outlineLevel="0" collapsed="false">
      <c r="A485" s="2" t="s">
        <v>504</v>
      </c>
      <c r="B485" s="2" t="s">
        <v>441</v>
      </c>
      <c r="C485" s="2" t="s">
        <v>62</v>
      </c>
      <c r="D485" s="2" t="n">
        <v>8.62</v>
      </c>
      <c r="E485" s="2" t="n">
        <v>1</v>
      </c>
      <c r="F485" s="2" t="n">
        <v>2724.9</v>
      </c>
      <c r="G485" s="2" t="n">
        <v>2</v>
      </c>
      <c r="H485" s="2" t="n">
        <v>27.8</v>
      </c>
    </row>
    <row r="486" customFormat="false" ht="15" hidden="false" customHeight="false" outlineLevel="0" collapsed="false">
      <c r="A486" s="2" t="s">
        <v>505</v>
      </c>
      <c r="B486" s="2" t="s">
        <v>441</v>
      </c>
      <c r="C486" s="2" t="s">
        <v>62</v>
      </c>
      <c r="D486" s="2" t="n">
        <v>16.37</v>
      </c>
      <c r="E486" s="2" t="n">
        <v>0.714285714285714</v>
      </c>
      <c r="F486" s="2" t="n">
        <v>571.3</v>
      </c>
      <c r="G486" s="2" t="n">
        <v>0</v>
      </c>
      <c r="H486" s="2" t="n">
        <v>58</v>
      </c>
    </row>
    <row r="487" customFormat="false" ht="15" hidden="false" customHeight="false" outlineLevel="0" collapsed="false">
      <c r="A487" s="2" t="s">
        <v>506</v>
      </c>
      <c r="B487" s="2" t="s">
        <v>441</v>
      </c>
      <c r="C487" s="2" t="s">
        <v>16</v>
      </c>
      <c r="D487" s="2" t="n">
        <v>4.23</v>
      </c>
      <c r="E487" s="2"/>
      <c r="F487" s="2" t="n">
        <v>0</v>
      </c>
      <c r="G487" s="2" t="n">
        <v>0</v>
      </c>
      <c r="H487" s="2" t="n">
        <v>48.1</v>
      </c>
    </row>
    <row r="488" customFormat="false" ht="15" hidden="false" customHeight="false" outlineLevel="0" collapsed="false">
      <c r="A488" s="2" t="s">
        <v>507</v>
      </c>
      <c r="B488" s="2" t="s">
        <v>441</v>
      </c>
      <c r="C488" s="2" t="s">
        <v>16</v>
      </c>
      <c r="D488" s="2" t="n">
        <v>3.37</v>
      </c>
      <c r="E488" s="2"/>
      <c r="F488" s="2" t="n">
        <v>0</v>
      </c>
      <c r="G488" s="2" t="n">
        <v>1</v>
      </c>
      <c r="H488" s="2" t="n">
        <v>46.6</v>
      </c>
    </row>
    <row r="489" customFormat="false" ht="15" hidden="false" customHeight="false" outlineLevel="0" collapsed="false">
      <c r="A489" s="2" t="s">
        <v>508</v>
      </c>
      <c r="B489" s="2" t="s">
        <v>441</v>
      </c>
      <c r="C489" s="2" t="s">
        <v>16</v>
      </c>
      <c r="D489" s="2" t="n">
        <v>3.3</v>
      </c>
      <c r="E489" s="2"/>
      <c r="F489" s="2" t="n">
        <v>0</v>
      </c>
      <c r="G489" s="2" t="n">
        <v>4</v>
      </c>
      <c r="H489" s="2" t="n">
        <v>48.1</v>
      </c>
    </row>
    <row r="490" customFormat="false" ht="15" hidden="false" customHeight="false" outlineLevel="0" collapsed="false">
      <c r="A490" s="2" t="s">
        <v>509</v>
      </c>
      <c r="B490" s="2" t="s">
        <v>441</v>
      </c>
      <c r="C490" s="2" t="s">
        <v>62</v>
      </c>
      <c r="D490" s="2" t="n">
        <v>16.55</v>
      </c>
      <c r="E490" s="2"/>
      <c r="F490" s="2" t="n">
        <v>0</v>
      </c>
      <c r="G490" s="2" t="n">
        <v>0</v>
      </c>
      <c r="H490" s="2" t="n">
        <v>48.1</v>
      </c>
    </row>
    <row r="491" customFormat="false" ht="15" hidden="false" customHeight="false" outlineLevel="0" collapsed="false">
      <c r="A491" s="2" t="s">
        <v>510</v>
      </c>
      <c r="B491" s="2" t="s">
        <v>441</v>
      </c>
      <c r="C491" s="2" t="s">
        <v>16</v>
      </c>
      <c r="D491" s="2" t="n">
        <v>3.96</v>
      </c>
      <c r="E491" s="2"/>
      <c r="F491" s="2" t="n">
        <v>0</v>
      </c>
      <c r="G491" s="2" t="n">
        <v>6</v>
      </c>
      <c r="H491" s="2" t="n">
        <v>54.6</v>
      </c>
    </row>
    <row r="492" customFormat="false" ht="15" hidden="false" customHeight="false" outlineLevel="0" collapsed="false">
      <c r="A492" s="2" t="s">
        <v>511</v>
      </c>
      <c r="B492" s="2" t="s">
        <v>441</v>
      </c>
      <c r="C492" s="2" t="s">
        <v>62</v>
      </c>
      <c r="D492" s="2" t="n">
        <v>15.81</v>
      </c>
      <c r="E492" s="2"/>
      <c r="F492" s="2" t="n">
        <v>0</v>
      </c>
      <c r="G492" s="2" t="n">
        <v>0</v>
      </c>
      <c r="H492" s="2" t="n">
        <v>48.1</v>
      </c>
    </row>
    <row r="493" customFormat="false" ht="15" hidden="false" customHeight="false" outlineLevel="0" collapsed="false">
      <c r="A493" s="2" t="s">
        <v>512</v>
      </c>
      <c r="B493" s="2" t="s">
        <v>441</v>
      </c>
      <c r="C493" s="2" t="s">
        <v>16</v>
      </c>
      <c r="D493" s="2" t="n">
        <v>3.54</v>
      </c>
      <c r="E493" s="2"/>
      <c r="F493" s="2" t="n">
        <v>0</v>
      </c>
      <c r="G493" s="2" t="n">
        <v>1</v>
      </c>
      <c r="H493" s="2" t="n">
        <v>48.1</v>
      </c>
    </row>
    <row r="494" customFormat="false" ht="15" hidden="false" customHeight="false" outlineLevel="0" collapsed="false">
      <c r="A494" s="2" t="s">
        <v>513</v>
      </c>
      <c r="B494" s="2" t="s">
        <v>441</v>
      </c>
      <c r="C494" s="2" t="s">
        <v>16</v>
      </c>
      <c r="D494" s="2" t="n">
        <v>4.68</v>
      </c>
      <c r="E494" s="2"/>
      <c r="F494" s="2" t="n">
        <v>0</v>
      </c>
      <c r="G494" s="2" t="n">
        <v>6</v>
      </c>
      <c r="H494" s="2" t="n">
        <v>60.1</v>
      </c>
    </row>
    <row r="495" customFormat="false" ht="15" hidden="false" customHeight="false" outlineLevel="0" collapsed="false">
      <c r="A495" s="2" t="s">
        <v>514</v>
      </c>
      <c r="B495" s="2" t="s">
        <v>441</v>
      </c>
      <c r="C495" s="2" t="s">
        <v>16</v>
      </c>
      <c r="D495" s="2" t="n">
        <v>3.19</v>
      </c>
      <c r="E495" s="2"/>
      <c r="F495" s="2" t="n">
        <v>0</v>
      </c>
      <c r="G495" s="2" t="n">
        <v>1</v>
      </c>
      <c r="H495" s="2" t="n">
        <v>48.1</v>
      </c>
    </row>
    <row r="496" customFormat="false" ht="15" hidden="false" customHeight="false" outlineLevel="0" collapsed="false">
      <c r="A496" s="2" t="s">
        <v>515</v>
      </c>
      <c r="B496" s="2" t="s">
        <v>441</v>
      </c>
      <c r="C496" s="2" t="s">
        <v>70</v>
      </c>
      <c r="D496" s="2" t="n">
        <v>1.49</v>
      </c>
      <c r="E496" s="2"/>
      <c r="F496" s="2" t="n">
        <v>0</v>
      </c>
      <c r="G496" s="2" t="n">
        <v>0</v>
      </c>
      <c r="H496" s="2" t="n">
        <v>48.1</v>
      </c>
    </row>
    <row r="497" customFormat="false" ht="15" hidden="false" customHeight="false" outlineLevel="0" collapsed="false">
      <c r="A497" s="2" t="s">
        <v>516</v>
      </c>
      <c r="B497" s="2" t="s">
        <v>441</v>
      </c>
      <c r="C497" s="2" t="s">
        <v>16</v>
      </c>
      <c r="D497" s="2" t="n">
        <v>3.94</v>
      </c>
      <c r="E497" s="2"/>
      <c r="F497" s="2" t="n">
        <v>0</v>
      </c>
      <c r="G497" s="2" t="n">
        <v>1</v>
      </c>
      <c r="H497" s="2" t="n">
        <v>54.6</v>
      </c>
    </row>
    <row r="498" customFormat="false" ht="15" hidden="false" customHeight="false" outlineLevel="0" collapsed="false">
      <c r="A498" s="2" t="s">
        <v>517</v>
      </c>
      <c r="B498" s="2" t="s">
        <v>441</v>
      </c>
      <c r="C498" s="2" t="s">
        <v>16</v>
      </c>
      <c r="D498" s="2" t="n">
        <v>3.46</v>
      </c>
      <c r="E498" s="2"/>
      <c r="F498" s="2" t="n">
        <v>0</v>
      </c>
      <c r="G498" s="2" t="n">
        <v>0</v>
      </c>
      <c r="H498" s="2" t="n">
        <v>45.7</v>
      </c>
    </row>
    <row r="499" customFormat="false" ht="15" hidden="false" customHeight="false" outlineLevel="0" collapsed="false">
      <c r="A499" s="2" t="s">
        <v>518</v>
      </c>
      <c r="B499" s="2" t="s">
        <v>441</v>
      </c>
      <c r="C499" s="2" t="s">
        <v>70</v>
      </c>
      <c r="D499" s="2" t="n">
        <v>1.15</v>
      </c>
      <c r="E499" s="2"/>
      <c r="F499" s="2" t="n">
        <v>0</v>
      </c>
      <c r="G499" s="2" t="n">
        <v>0</v>
      </c>
      <c r="H499" s="2" t="n">
        <v>48.1</v>
      </c>
    </row>
    <row r="500" customFormat="false" ht="15" hidden="false" customHeight="false" outlineLevel="0" collapsed="false">
      <c r="A500" s="2" t="s">
        <v>519</v>
      </c>
      <c r="B500" s="2" t="s">
        <v>441</v>
      </c>
      <c r="C500" s="2" t="s">
        <v>70</v>
      </c>
      <c r="D500" s="2" t="n">
        <v>1.82</v>
      </c>
      <c r="E500" s="2"/>
      <c r="F500" s="2" t="n">
        <v>0</v>
      </c>
      <c r="G500" s="2" t="n">
        <v>2</v>
      </c>
      <c r="H500" s="2" t="n">
        <v>48.1</v>
      </c>
    </row>
    <row r="501" customFormat="false" ht="15" hidden="false" customHeight="false" outlineLevel="0" collapsed="false">
      <c r="A501" s="2" t="s">
        <v>520</v>
      </c>
      <c r="B501" s="2" t="s">
        <v>441</v>
      </c>
      <c r="C501" s="2" t="s">
        <v>16</v>
      </c>
      <c r="D501" s="2" t="n">
        <v>4.07</v>
      </c>
      <c r="E501" s="2"/>
      <c r="F501" s="2" t="n">
        <v>0</v>
      </c>
      <c r="G501" s="2" t="n">
        <v>0</v>
      </c>
      <c r="H501" s="2" t="n">
        <v>44.9</v>
      </c>
    </row>
    <row r="502" customFormat="false" ht="15" hidden="false" customHeight="false" outlineLevel="0" collapsed="false">
      <c r="A502" s="2" t="s">
        <v>521</v>
      </c>
      <c r="B502" s="2" t="s">
        <v>441</v>
      </c>
      <c r="C502" s="2" t="s">
        <v>70</v>
      </c>
      <c r="D502" s="2" t="n">
        <v>2.98</v>
      </c>
      <c r="E502" s="2"/>
      <c r="F502" s="2" t="n">
        <v>0</v>
      </c>
      <c r="G502" s="2" t="n">
        <v>5</v>
      </c>
      <c r="H502" s="2" t="n">
        <v>48.1</v>
      </c>
    </row>
    <row r="503" customFormat="false" ht="15" hidden="false" customHeight="false" outlineLevel="0" collapsed="false">
      <c r="A503" s="2" t="s">
        <v>522</v>
      </c>
      <c r="B503" s="2" t="s">
        <v>441</v>
      </c>
      <c r="C503" s="2" t="s">
        <v>62</v>
      </c>
      <c r="D503" s="2" t="n">
        <v>8.31</v>
      </c>
      <c r="E503" s="2"/>
      <c r="F503" s="2" t="n">
        <v>0</v>
      </c>
      <c r="G503" s="2" t="n">
        <v>0</v>
      </c>
      <c r="H503" s="2" t="n">
        <v>48.1</v>
      </c>
    </row>
    <row r="504" customFormat="false" ht="15" hidden="false" customHeight="false" outlineLevel="0" collapsed="false">
      <c r="A504" s="2" t="s">
        <v>523</v>
      </c>
      <c r="B504" s="2" t="s">
        <v>441</v>
      </c>
      <c r="C504" s="2" t="s">
        <v>16</v>
      </c>
      <c r="D504" s="2" t="n">
        <v>3.07</v>
      </c>
      <c r="E504" s="2"/>
      <c r="F504" s="2" t="n">
        <v>0</v>
      </c>
      <c r="G504" s="2" t="n">
        <v>0</v>
      </c>
      <c r="H504" s="2" t="n">
        <v>57.4</v>
      </c>
    </row>
    <row r="505" customFormat="false" ht="15" hidden="false" customHeight="false" outlineLevel="0" collapsed="false">
      <c r="A505" s="2" t="s">
        <v>524</v>
      </c>
      <c r="B505" s="2" t="s">
        <v>441</v>
      </c>
      <c r="C505" s="2" t="s">
        <v>16</v>
      </c>
      <c r="D505" s="2" t="n">
        <v>3.24</v>
      </c>
      <c r="E505" s="2"/>
      <c r="F505" s="2" t="n">
        <v>0</v>
      </c>
      <c r="G505" s="2" t="n">
        <v>3</v>
      </c>
      <c r="H505" s="2" t="n">
        <v>55</v>
      </c>
    </row>
    <row r="506" customFormat="false" ht="15" hidden="false" customHeight="false" outlineLevel="0" collapsed="false">
      <c r="A506" s="2" t="s">
        <v>525</v>
      </c>
      <c r="B506" s="2" t="s">
        <v>441</v>
      </c>
      <c r="C506" s="2" t="s">
        <v>16</v>
      </c>
      <c r="D506" s="2" t="n">
        <v>3.9</v>
      </c>
      <c r="E506" s="2"/>
      <c r="F506" s="2" t="n">
        <v>0</v>
      </c>
      <c r="G506" s="2" t="n">
        <v>0</v>
      </c>
      <c r="H506" s="2" t="n">
        <v>45.3</v>
      </c>
    </row>
    <row r="507" customFormat="false" ht="15" hidden="false" customHeight="false" outlineLevel="0" collapsed="false">
      <c r="A507" s="2" t="s">
        <v>526</v>
      </c>
      <c r="B507" s="2" t="s">
        <v>441</v>
      </c>
      <c r="C507" s="2" t="s">
        <v>16</v>
      </c>
      <c r="D507" s="2" t="n">
        <v>3.47</v>
      </c>
      <c r="E507" s="2"/>
      <c r="F507" s="2" t="n">
        <v>0</v>
      </c>
      <c r="G507" s="2" t="n">
        <v>0</v>
      </c>
      <c r="H507" s="2" t="n">
        <v>46.6</v>
      </c>
    </row>
    <row r="508" customFormat="false" ht="15" hidden="false" customHeight="false" outlineLevel="0" collapsed="false">
      <c r="A508" s="2" t="s">
        <v>527</v>
      </c>
      <c r="B508" s="2" t="s">
        <v>441</v>
      </c>
      <c r="C508" s="2" t="s">
        <v>62</v>
      </c>
      <c r="D508" s="2" t="n">
        <v>16.87</v>
      </c>
      <c r="E508" s="2"/>
      <c r="F508" s="2" t="n">
        <v>0</v>
      </c>
      <c r="G508" s="2" t="n">
        <v>0</v>
      </c>
      <c r="H508" s="2" t="n">
        <v>45.3</v>
      </c>
    </row>
    <row r="509" customFormat="false" ht="15" hidden="false" customHeight="false" outlineLevel="0" collapsed="false">
      <c r="A509" s="2" t="s">
        <v>528</v>
      </c>
      <c r="B509" s="2" t="s">
        <v>441</v>
      </c>
      <c r="C509" s="2" t="s">
        <v>16</v>
      </c>
      <c r="D509" s="2" t="n">
        <v>4.52</v>
      </c>
      <c r="E509" s="2"/>
      <c r="F509" s="2" t="n">
        <v>0</v>
      </c>
      <c r="G509" s="2" t="n">
        <v>1</v>
      </c>
      <c r="H509" s="2" t="n">
        <v>48.1</v>
      </c>
    </row>
    <row r="510" customFormat="false" ht="15" hidden="false" customHeight="false" outlineLevel="0" collapsed="false">
      <c r="A510" s="2" t="s">
        <v>529</v>
      </c>
      <c r="B510" s="2" t="s">
        <v>441</v>
      </c>
      <c r="C510" s="2" t="s">
        <v>16</v>
      </c>
      <c r="D510" s="2" t="n">
        <v>4.08</v>
      </c>
      <c r="E510" s="2"/>
      <c r="F510" s="2" t="n">
        <v>0</v>
      </c>
      <c r="G510" s="2" t="n">
        <v>3</v>
      </c>
      <c r="H510" s="2" t="n">
        <v>44.9</v>
      </c>
    </row>
    <row r="511" customFormat="false" ht="15" hidden="false" customHeight="false" outlineLevel="0" collapsed="false">
      <c r="A511" s="2" t="s">
        <v>530</v>
      </c>
      <c r="B511" s="2" t="s">
        <v>441</v>
      </c>
      <c r="C511" s="2" t="s">
        <v>16</v>
      </c>
      <c r="D511" s="2" t="n">
        <v>3.01</v>
      </c>
      <c r="E511" s="2"/>
      <c r="F511" s="2" t="n">
        <v>0</v>
      </c>
      <c r="G511" s="2" t="n">
        <v>2</v>
      </c>
      <c r="H511" s="2" t="n">
        <v>48.1</v>
      </c>
    </row>
    <row r="512" customFormat="false" ht="15" hidden="false" customHeight="false" outlineLevel="0" collapsed="false">
      <c r="A512" s="2" t="s">
        <v>531</v>
      </c>
      <c r="B512" s="2" t="s">
        <v>441</v>
      </c>
      <c r="C512" s="2" t="s">
        <v>62</v>
      </c>
      <c r="D512" s="2" t="n">
        <v>8.25</v>
      </c>
      <c r="E512" s="2"/>
      <c r="F512" s="2" t="n">
        <v>0</v>
      </c>
      <c r="G512" s="2" t="n">
        <v>1</v>
      </c>
      <c r="H512" s="2" t="n">
        <v>48.1</v>
      </c>
    </row>
    <row r="513" customFormat="false" ht="15" hidden="false" customHeight="false" outlineLevel="0" collapsed="false">
      <c r="A513" s="2" t="s">
        <v>532</v>
      </c>
      <c r="B513" s="2" t="s">
        <v>441</v>
      </c>
      <c r="C513" s="2" t="s">
        <v>16</v>
      </c>
      <c r="D513" s="2" t="n">
        <v>3.18</v>
      </c>
      <c r="E513" s="2"/>
      <c r="F513" s="2" t="n">
        <v>0</v>
      </c>
      <c r="G513" s="2" t="n">
        <v>0</v>
      </c>
      <c r="H513" s="2" t="n">
        <v>44.9</v>
      </c>
    </row>
    <row r="514" customFormat="false" ht="15" hidden="false" customHeight="false" outlineLevel="0" collapsed="false">
      <c r="A514" s="2" t="s">
        <v>533</v>
      </c>
      <c r="B514" s="2" t="s">
        <v>441</v>
      </c>
      <c r="C514" s="2" t="s">
        <v>62</v>
      </c>
      <c r="D514" s="2" t="n">
        <v>9.17</v>
      </c>
      <c r="E514" s="2"/>
      <c r="F514" s="2" t="n">
        <v>0</v>
      </c>
      <c r="G514" s="2" t="n">
        <v>2</v>
      </c>
      <c r="H514" s="2" t="n">
        <v>48.1</v>
      </c>
    </row>
    <row r="515" customFormat="false" ht="15" hidden="false" customHeight="false" outlineLevel="0" collapsed="false">
      <c r="A515" s="2" t="s">
        <v>534</v>
      </c>
      <c r="B515" s="2" t="s">
        <v>441</v>
      </c>
      <c r="C515" s="2" t="s">
        <v>16</v>
      </c>
      <c r="D515" s="2" t="n">
        <v>3.71</v>
      </c>
      <c r="E515" s="2"/>
      <c r="F515" s="2" t="n">
        <v>0</v>
      </c>
      <c r="G515" s="2" t="n">
        <v>0</v>
      </c>
      <c r="H515" s="2" t="n">
        <v>57.4</v>
      </c>
    </row>
    <row r="516" customFormat="false" ht="15" hidden="false" customHeight="false" outlineLevel="0" collapsed="false">
      <c r="A516" s="2" t="s">
        <v>535</v>
      </c>
      <c r="B516" s="2" t="s">
        <v>441</v>
      </c>
      <c r="C516" s="2" t="s">
        <v>16</v>
      </c>
      <c r="D516" s="2" t="n">
        <v>3.05</v>
      </c>
      <c r="E516" s="2"/>
      <c r="F516" s="2" t="n">
        <v>0</v>
      </c>
      <c r="G516" s="2" t="n">
        <v>2</v>
      </c>
      <c r="H516" s="2" t="n">
        <v>48.1</v>
      </c>
    </row>
    <row r="517" customFormat="false" ht="15" hidden="false" customHeight="false" outlineLevel="0" collapsed="false">
      <c r="A517" s="2" t="s">
        <v>536</v>
      </c>
      <c r="B517" s="2" t="s">
        <v>441</v>
      </c>
      <c r="C517" s="2" t="s">
        <v>16</v>
      </c>
      <c r="D517" s="2" t="n">
        <v>3.04</v>
      </c>
      <c r="E517" s="2"/>
      <c r="F517" s="2" t="n">
        <v>0</v>
      </c>
      <c r="G517" s="2" t="n">
        <v>0</v>
      </c>
      <c r="H517" s="2" t="n">
        <v>60.7</v>
      </c>
    </row>
    <row r="518" customFormat="false" ht="15" hidden="false" customHeight="false" outlineLevel="0" collapsed="false">
      <c r="A518" s="2" t="s">
        <v>537</v>
      </c>
      <c r="B518" s="2" t="s">
        <v>441</v>
      </c>
      <c r="C518" s="2" t="s">
        <v>70</v>
      </c>
      <c r="D518" s="2" t="n">
        <v>1.31</v>
      </c>
      <c r="E518" s="2"/>
      <c r="F518" s="2" t="n">
        <v>0</v>
      </c>
      <c r="G518" s="2" t="n">
        <v>0</v>
      </c>
      <c r="H518" s="2" t="n">
        <v>48.1</v>
      </c>
    </row>
    <row r="519" customFormat="false" ht="15" hidden="false" customHeight="false" outlineLevel="0" collapsed="false">
      <c r="A519" s="2" t="s">
        <v>538</v>
      </c>
      <c r="B519" s="2" t="s">
        <v>441</v>
      </c>
      <c r="C519" s="2" t="s">
        <v>62</v>
      </c>
      <c r="D519" s="2" t="n">
        <v>7.94</v>
      </c>
      <c r="E519" s="2"/>
      <c r="F519" s="2" t="n">
        <v>0</v>
      </c>
      <c r="G519" s="2" t="n">
        <v>0</v>
      </c>
      <c r="H519" s="2" t="n">
        <v>48.1</v>
      </c>
    </row>
    <row r="520" customFormat="false" ht="15" hidden="false" customHeight="false" outlineLevel="0" collapsed="false">
      <c r="A520" s="2" t="s">
        <v>539</v>
      </c>
      <c r="B520" s="2" t="s">
        <v>441</v>
      </c>
      <c r="C520" s="2" t="s">
        <v>70</v>
      </c>
      <c r="D520" s="2" t="n">
        <v>1.92</v>
      </c>
      <c r="E520" s="2"/>
      <c r="F520" s="2" t="n">
        <v>0</v>
      </c>
      <c r="G520" s="2" t="n">
        <v>0</v>
      </c>
      <c r="H520" s="2" t="n">
        <v>48.1</v>
      </c>
    </row>
    <row r="521" customFormat="false" ht="15" hidden="false" customHeight="false" outlineLevel="0" collapsed="false">
      <c r="A521" s="2" t="s">
        <v>540</v>
      </c>
      <c r="B521" s="2" t="s">
        <v>441</v>
      </c>
      <c r="C521" s="2" t="s">
        <v>70</v>
      </c>
      <c r="D521" s="2" t="n">
        <v>1.27</v>
      </c>
      <c r="E521" s="2"/>
      <c r="F521" s="2" t="n">
        <v>0</v>
      </c>
      <c r="G521" s="2" t="n">
        <v>2</v>
      </c>
      <c r="H521" s="2" t="n">
        <v>45.3</v>
      </c>
    </row>
    <row r="522" customFormat="false" ht="15" hidden="false" customHeight="false" outlineLevel="0" collapsed="false">
      <c r="A522" s="2" t="s">
        <v>541</v>
      </c>
      <c r="B522" s="2" t="s">
        <v>441</v>
      </c>
      <c r="C522" s="2" t="s">
        <v>62</v>
      </c>
      <c r="D522" s="2" t="n">
        <v>8.06</v>
      </c>
      <c r="E522" s="2"/>
      <c r="F522" s="2" t="n">
        <v>0</v>
      </c>
      <c r="G522" s="2" t="n">
        <v>1</v>
      </c>
      <c r="H522" s="2" t="n">
        <v>48.1</v>
      </c>
    </row>
    <row r="523" customFormat="false" ht="15" hidden="false" customHeight="false" outlineLevel="0" collapsed="false">
      <c r="A523" s="2" t="s">
        <v>542</v>
      </c>
      <c r="B523" s="2" t="s">
        <v>441</v>
      </c>
      <c r="C523" s="2" t="s">
        <v>62</v>
      </c>
      <c r="D523" s="2" t="n">
        <v>9.49</v>
      </c>
      <c r="E523" s="2"/>
      <c r="F523" s="2" t="n">
        <v>0</v>
      </c>
      <c r="G523" s="2" t="n">
        <v>1</v>
      </c>
      <c r="H523" s="2" t="n">
        <v>45.7</v>
      </c>
    </row>
    <row r="524" customFormat="false" ht="15" hidden="false" customHeight="false" outlineLevel="0" collapsed="false">
      <c r="A524" s="2" t="s">
        <v>543</v>
      </c>
      <c r="B524" s="2" t="s">
        <v>441</v>
      </c>
      <c r="C524" s="2" t="s">
        <v>70</v>
      </c>
      <c r="D524" s="2" t="n">
        <v>1.13</v>
      </c>
      <c r="E524" s="2"/>
      <c r="F524" s="2" t="n">
        <v>0</v>
      </c>
      <c r="G524" s="2" t="n">
        <v>2</v>
      </c>
      <c r="H524" s="2" t="n">
        <v>48.1</v>
      </c>
    </row>
    <row r="525" customFormat="false" ht="15" hidden="false" customHeight="false" outlineLevel="0" collapsed="false">
      <c r="A525" s="2" t="s">
        <v>544</v>
      </c>
      <c r="B525" s="2" t="s">
        <v>441</v>
      </c>
      <c r="C525" s="2" t="s">
        <v>16</v>
      </c>
      <c r="D525" s="2" t="n">
        <v>3.02</v>
      </c>
      <c r="E525" s="2"/>
      <c r="F525" s="2" t="n">
        <v>0</v>
      </c>
      <c r="G525" s="2" t="n">
        <v>0</v>
      </c>
      <c r="H525" s="2" t="n">
        <v>44.9</v>
      </c>
    </row>
    <row r="526" customFormat="false" ht="15" hidden="false" customHeight="false" outlineLevel="0" collapsed="false">
      <c r="A526" s="2" t="s">
        <v>545</v>
      </c>
      <c r="B526" s="2" t="s">
        <v>441</v>
      </c>
      <c r="C526" s="2" t="s">
        <v>16</v>
      </c>
      <c r="D526" s="2" t="n">
        <v>4.37</v>
      </c>
      <c r="E526" s="2"/>
      <c r="F526" s="2" t="n">
        <v>0</v>
      </c>
      <c r="G526" s="2" t="n">
        <v>0</v>
      </c>
      <c r="H526" s="2" t="n">
        <v>48.1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1" t="s">
        <v>2</v>
      </c>
      <c r="B1" s="1" t="s">
        <v>546</v>
      </c>
      <c r="C1" s="1" t="s">
        <v>547</v>
      </c>
    </row>
    <row r="2" customFormat="false" ht="15" hidden="false" customHeight="false" outlineLevel="0" collapsed="false">
      <c r="A2" s="2" t="s">
        <v>24</v>
      </c>
      <c r="B2" s="2" t="n">
        <v>1</v>
      </c>
      <c r="C2" s="2" t="n">
        <v>3</v>
      </c>
    </row>
    <row r="3" customFormat="false" ht="15" hidden="false" customHeight="false" outlineLevel="0" collapsed="false">
      <c r="A3" s="2" t="s">
        <v>19</v>
      </c>
      <c r="B3" s="2" t="n">
        <v>4</v>
      </c>
      <c r="C3" s="2" t="n">
        <v>6</v>
      </c>
    </row>
    <row r="4" customFormat="false" ht="15" hidden="false" customHeight="false" outlineLevel="0" collapsed="false">
      <c r="A4" s="2" t="s">
        <v>14</v>
      </c>
      <c r="B4" s="2" t="n">
        <v>7</v>
      </c>
      <c r="C4" s="2" t="n">
        <v>11</v>
      </c>
    </row>
    <row r="5" customFormat="false" ht="15" hidden="false" customHeight="false" outlineLevel="0" collapsed="false">
      <c r="A5" s="2" t="s">
        <v>12</v>
      </c>
      <c r="B5" s="2" t="n">
        <v>12</v>
      </c>
      <c r="C5" s="2" t="n">
        <v>15</v>
      </c>
    </row>
    <row r="6" customFormat="false" ht="15" hidden="false" customHeight="false" outlineLevel="0" collapsed="false">
      <c r="A6" s="2" t="s">
        <v>10</v>
      </c>
      <c r="B6" s="2" t="n">
        <v>15</v>
      </c>
      <c r="C6" s="2" t="n">
        <v>30</v>
      </c>
    </row>
    <row r="7" customFormat="false" ht="15" hidden="false" customHeight="false" outlineLevel="0" collapsed="false">
      <c r="A7" s="2" t="s">
        <v>70</v>
      </c>
      <c r="B7" s="2" t="n">
        <v>1</v>
      </c>
      <c r="C7" s="2" t="n">
        <v>3</v>
      </c>
    </row>
    <row r="8" customFormat="false" ht="15" hidden="false" customHeight="false" outlineLevel="0" collapsed="false">
      <c r="A8" s="2" t="s">
        <v>16</v>
      </c>
      <c r="B8" s="2" t="n">
        <v>3</v>
      </c>
      <c r="C8" s="2" t="n">
        <v>5</v>
      </c>
    </row>
    <row r="9" customFormat="false" ht="15" hidden="false" customHeight="false" outlineLevel="0" collapsed="false">
      <c r="A9" s="2" t="s">
        <v>62</v>
      </c>
      <c r="B9" s="2" t="n">
        <v>5</v>
      </c>
      <c r="C9" s="2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7"/>
  </cols>
  <sheetData>
    <row r="1" customFormat="false" ht="15" hidden="false" customHeight="false" outlineLevel="0" collapsed="false">
      <c r="A1" s="1" t="s">
        <v>1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</row>
    <row r="2" customFormat="false" ht="15" hidden="false" customHeight="false" outlineLevel="0" collapsed="false">
      <c r="A2" s="2" t="s">
        <v>9</v>
      </c>
      <c r="B2" s="2" t="n">
        <f aca="false">COUNTIF(Person_Data!$B$2:$B$526,A2)</f>
        <v>105</v>
      </c>
      <c r="C2" s="3" t="n">
        <f aca="false">AVERAGEIF(Person_Data!$B$2:$B$526,A2,Person_Data!$F$2:$F$526)</f>
        <v>492.597142857143</v>
      </c>
      <c r="D2" s="4" t="n">
        <f aca="false">AVERAGEIF(Person_Data!$B$2:$B$526,A2,Person_Data!$E$2:$E$526)</f>
        <v>0.842806663437469</v>
      </c>
      <c r="E2" s="5" t="n">
        <f aca="false">AVERAGEIF(Person_Data!$B$2:$B$526,A2,Person_Data!$G$2:$G$526)</f>
        <v>1.8</v>
      </c>
      <c r="F2" s="6" t="n">
        <f aca="false">AVERAGEIF(Person_Data!$B$2:$B$526,A2,Person_Data!$H$2:$H$526)</f>
        <v>50.632380952381</v>
      </c>
    </row>
    <row r="3" customFormat="false" ht="15" hidden="false" customHeight="false" outlineLevel="0" collapsed="false">
      <c r="A3" s="2" t="s">
        <v>123</v>
      </c>
      <c r="B3" s="2" t="n">
        <f aca="false">COUNTIF(Person_Data!$B$2:$B$526,A3)</f>
        <v>105</v>
      </c>
      <c r="C3" s="3" t="n">
        <f aca="false">AVERAGEIF(Person_Data!$B$2:$B$526,A3,Person_Data!$F$2:$F$526)</f>
        <v>472.661904761905</v>
      </c>
      <c r="D3" s="4" t="n">
        <f aca="false">AVERAGEIF(Person_Data!$B$2:$B$526,A3,Person_Data!$E$2:$E$526)</f>
        <v>0.844276618891944</v>
      </c>
      <c r="E3" s="5" t="n">
        <f aca="false">AVERAGEIF(Person_Data!$B$2:$B$526,A3,Person_Data!$G$2:$G$526)</f>
        <v>1.91428571428571</v>
      </c>
      <c r="F3" s="6" t="n">
        <f aca="false">AVERAGEIF(Person_Data!$B$2:$B$526,A3,Person_Data!$H$2:$H$526)</f>
        <v>49.6838095238095</v>
      </c>
    </row>
    <row r="4" customFormat="false" ht="15" hidden="false" customHeight="false" outlineLevel="0" collapsed="false">
      <c r="A4" s="2" t="s">
        <v>229</v>
      </c>
      <c r="B4" s="2" t="n">
        <f aca="false">COUNTIF(Person_Data!$B$2:$B$526,A4)</f>
        <v>105</v>
      </c>
      <c r="C4" s="3" t="n">
        <f aca="false">AVERAGEIF(Person_Data!$B$2:$B$526,A4,Person_Data!$F$2:$F$526)</f>
        <v>497.88</v>
      </c>
      <c r="D4" s="4" t="n">
        <f aca="false">AVERAGEIF(Person_Data!$B$2:$B$526,A4,Person_Data!$E$2:$E$526)</f>
        <v>0.823671741935232</v>
      </c>
      <c r="E4" s="5" t="n">
        <f aca="false">AVERAGEIF(Person_Data!$B$2:$B$526,A4,Person_Data!$G$2:$G$526)</f>
        <v>1.5047619047619</v>
      </c>
      <c r="F4" s="6" t="n">
        <f aca="false">AVERAGEIF(Person_Data!$B$2:$B$526,A4,Person_Data!$H$2:$H$526)</f>
        <v>51.9180952380952</v>
      </c>
    </row>
    <row r="5" customFormat="false" ht="15" hidden="false" customHeight="false" outlineLevel="0" collapsed="false">
      <c r="A5" s="2" t="s">
        <v>335</v>
      </c>
      <c r="B5" s="2" t="n">
        <f aca="false">COUNTIF(Person_Data!$B$2:$B$526,A5)</f>
        <v>105</v>
      </c>
      <c r="C5" s="3" t="n">
        <f aca="false">AVERAGEIF(Person_Data!$B$2:$B$526,A5,Person_Data!$F$2:$F$526)</f>
        <v>471.377142857143</v>
      </c>
      <c r="D5" s="4" t="n">
        <f aca="false">AVERAGEIF(Person_Data!$B$2:$B$526,A5,Person_Data!$E$2:$E$526)</f>
        <v>0.858700486975888</v>
      </c>
      <c r="E5" s="5" t="n">
        <f aca="false">AVERAGEIF(Person_Data!$B$2:$B$526,A5,Person_Data!$G$2:$G$526)</f>
        <v>1.8952380952381</v>
      </c>
      <c r="F5" s="6" t="n">
        <f aca="false">AVERAGEIF(Person_Data!$B$2:$B$526,A5,Person_Data!$H$2:$H$526)</f>
        <v>49.5085714285714</v>
      </c>
    </row>
    <row r="6" customFormat="false" ht="15" hidden="false" customHeight="false" outlineLevel="0" collapsed="false">
      <c r="A6" s="2" t="s">
        <v>441</v>
      </c>
      <c r="B6" s="2" t="n">
        <f aca="false">COUNTIF(Person_Data!$B$2:$B$526,A6)</f>
        <v>105</v>
      </c>
      <c r="C6" s="3" t="n">
        <f aca="false">AVERAGEIF(Person_Data!$B$2:$B$526,A6,Person_Data!$F$2:$F$526)</f>
        <v>505.573333333333</v>
      </c>
      <c r="D6" s="4" t="n">
        <f aca="false">AVERAGEIF(Person_Data!$B$2:$B$526,A6,Person_Data!$E$2:$E$526)</f>
        <v>0.852795722254095</v>
      </c>
      <c r="E6" s="5" t="n">
        <f aca="false">AVERAGEIF(Person_Data!$B$2:$B$526,A6,Person_Data!$G$2:$G$526)</f>
        <v>1.18095238095238</v>
      </c>
      <c r="F6" s="6" t="n">
        <f aca="false">AVERAGEIF(Person_Data!$B$2:$B$526,A6,Person_Data!$H$2:$H$526)</f>
        <v>48.1904761904762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7</v>
      </c>
      <c r="H1" s="1" t="s">
        <v>557</v>
      </c>
    </row>
    <row r="2" customFormat="false" ht="15" hidden="false" customHeight="false" outlineLevel="0" collapsed="false">
      <c r="A2" s="2" t="str">
        <f aca="false">Person_Data!A2</f>
        <v>AO07216</v>
      </c>
      <c r="B2" s="2" t="str">
        <f aca="false">Person_Data!C2</f>
        <v>Lieutenant Colonel</v>
      </c>
      <c r="C2" s="5" t="n">
        <f aca="false">Person_Data!D2</f>
        <v>19.13</v>
      </c>
      <c r="D2" s="2" t="n">
        <f aca="false">INDEX(Rank_Rules!$B$2:$B$9,MATCH(B2,Rank_Rules!$A$2:$A$9,0))</f>
        <v>15</v>
      </c>
      <c r="E2" s="2" t="n">
        <f aca="false">INDEX(Rank_Rules!$C$2:$C$9,MATCH(B2,Rank_Rules!$A$2:$A$9,0))</f>
        <v>30</v>
      </c>
      <c r="F2" s="2" t="str">
        <f aca="false">IF(AND(C2&gt;=D2,C2&lt;=E2),"OK","MISMATCH")</f>
        <v>OK</v>
      </c>
      <c r="G2" s="6" t="n">
        <f aca="false">Person_Data!H2</f>
        <v>83.9</v>
      </c>
      <c r="H2" s="2" t="str">
        <f aca="false">IF(G2&gt;=65,"HIGH",IF(G2&gt;=50,"MEDIUM","LOW"))</f>
        <v>HIGH</v>
      </c>
    </row>
    <row r="3" customFormat="false" ht="15" hidden="false" customHeight="false" outlineLevel="0" collapsed="false">
      <c r="A3" s="2" t="str">
        <f aca="false">Person_Data!A3</f>
        <v>AO12605</v>
      </c>
      <c r="B3" s="2" t="str">
        <f aca="false">Person_Data!C3</f>
        <v>Major</v>
      </c>
      <c r="C3" s="5" t="n">
        <f aca="false">Person_Data!D3</f>
        <v>14.03</v>
      </c>
      <c r="D3" s="2" t="n">
        <f aca="false">INDEX(Rank_Rules!$B$2:$B$9,MATCH(B3,Rank_Rules!$A$2:$A$9,0))</f>
        <v>12</v>
      </c>
      <c r="E3" s="2" t="n">
        <f aca="false">INDEX(Rank_Rules!$C$2:$C$9,MATCH(B3,Rank_Rules!$A$2:$A$9,0))</f>
        <v>15</v>
      </c>
      <c r="F3" s="2" t="str">
        <f aca="false">IF(AND(C3&gt;=D3,C3&lt;=E3),"OK","MISMATCH")</f>
        <v>OK</v>
      </c>
      <c r="G3" s="6" t="n">
        <f aca="false">Person_Data!H3</f>
        <v>58.2</v>
      </c>
      <c r="H3" s="2" t="str">
        <f aca="false">IF(G3&gt;=65,"HIGH",IF(G3&gt;=50,"MEDIUM","LOW"))</f>
        <v>MEDIUM</v>
      </c>
    </row>
    <row r="4" customFormat="false" ht="15" hidden="false" customHeight="false" outlineLevel="0" collapsed="false">
      <c r="A4" s="2" t="str">
        <f aca="false">Person_Data!A4</f>
        <v>AO17018</v>
      </c>
      <c r="B4" s="2" t="str">
        <f aca="false">Person_Data!C4</f>
        <v>Captain</v>
      </c>
      <c r="C4" s="5" t="n">
        <f aca="false">Person_Data!D4</f>
        <v>8.69</v>
      </c>
      <c r="D4" s="2" t="n">
        <f aca="false">INDEX(Rank_Rules!$B$2:$B$9,MATCH(B4,Rank_Rules!$A$2:$A$9,0))</f>
        <v>7</v>
      </c>
      <c r="E4" s="2" t="n">
        <f aca="false">INDEX(Rank_Rules!$C$2:$C$9,MATCH(B4,Rank_Rules!$A$2:$A$9,0))</f>
        <v>11</v>
      </c>
      <c r="F4" s="2" t="str">
        <f aca="false">IF(AND(C4&gt;=D4,C4&lt;=E4),"OK","MISMATCH")</f>
        <v>OK</v>
      </c>
      <c r="G4" s="6" t="n">
        <f aca="false">Person_Data!H4</f>
        <v>60.3</v>
      </c>
      <c r="H4" s="2" t="str">
        <f aca="false">IF(G4&gt;=65,"HIGH",IF(G4&gt;=50,"MEDIUM","LOW"))</f>
        <v>MEDIUM</v>
      </c>
    </row>
    <row r="5" customFormat="false" ht="15" hidden="false" customHeight="false" outlineLevel="0" collapsed="false">
      <c r="A5" s="2" t="str">
        <f aca="false">Person_Data!A5</f>
        <v>G22139</v>
      </c>
      <c r="B5" s="2" t="str">
        <f aca="false">Person_Data!C5</f>
        <v>Warrant Officer</v>
      </c>
      <c r="C5" s="5" t="n">
        <f aca="false">Person_Data!D5</f>
        <v>4.01</v>
      </c>
      <c r="D5" s="2" t="n">
        <f aca="false">INDEX(Rank_Rules!$B$2:$B$9,MATCH(B5,Rank_Rules!$A$2:$A$9,0))</f>
        <v>3</v>
      </c>
      <c r="E5" s="2" t="n">
        <f aca="false">INDEX(Rank_Rules!$C$2:$C$9,MATCH(B5,Rank_Rules!$A$2:$A$9,0))</f>
        <v>5</v>
      </c>
      <c r="F5" s="2" t="str">
        <f aca="false">IF(AND(C5&gt;=D5,C5&lt;=E5),"OK","MISMATCH")</f>
        <v>OK</v>
      </c>
      <c r="G5" s="6" t="n">
        <f aca="false">Person_Data!H5</f>
        <v>55.4</v>
      </c>
      <c r="H5" s="2" t="str">
        <f aca="false">IF(G5&gt;=65,"HIGH",IF(G5&gt;=50,"MEDIUM","LOW"))</f>
        <v>MEDIUM</v>
      </c>
    </row>
    <row r="6" customFormat="false" ht="15" hidden="false" customHeight="false" outlineLevel="0" collapsed="false">
      <c r="A6" s="2" t="str">
        <f aca="false">Person_Data!A6</f>
        <v>AO16543</v>
      </c>
      <c r="B6" s="2" t="str">
        <f aca="false">Person_Data!C6</f>
        <v>Captain</v>
      </c>
      <c r="C6" s="5" t="n">
        <f aca="false">Person_Data!D6</f>
        <v>9.6</v>
      </c>
      <c r="D6" s="2" t="n">
        <f aca="false">INDEX(Rank_Rules!$B$2:$B$9,MATCH(B6,Rank_Rules!$A$2:$A$9,0))</f>
        <v>7</v>
      </c>
      <c r="E6" s="2" t="n">
        <f aca="false">INDEX(Rank_Rules!$C$2:$C$9,MATCH(B6,Rank_Rules!$A$2:$A$9,0))</f>
        <v>11</v>
      </c>
      <c r="F6" s="2" t="str">
        <f aca="false">IF(AND(C6&gt;=D6,C6&lt;=E6),"OK","MISMATCH")</f>
        <v>OK</v>
      </c>
      <c r="G6" s="6" t="n">
        <f aca="false">Person_Data!H6</f>
        <v>48.1</v>
      </c>
      <c r="H6" s="2" t="str">
        <f aca="false">IF(G6&gt;=65,"HIGH",IF(G6&gt;=50,"MEDIUM","LOW"))</f>
        <v>LOW</v>
      </c>
    </row>
    <row r="7" customFormat="false" ht="15" hidden="false" customHeight="false" outlineLevel="0" collapsed="false">
      <c r="A7" s="2" t="str">
        <f aca="false">Person_Data!A7</f>
        <v>AO22963</v>
      </c>
      <c r="B7" s="2" t="str">
        <f aca="false">Person_Data!C7</f>
        <v>Senior Lieutenant</v>
      </c>
      <c r="C7" s="5" t="n">
        <f aca="false">Person_Data!D7</f>
        <v>4.44</v>
      </c>
      <c r="D7" s="2" t="n">
        <f aca="false">INDEX(Rank_Rules!$B$2:$B$9,MATCH(B7,Rank_Rules!$A$2:$A$9,0))</f>
        <v>4</v>
      </c>
      <c r="E7" s="2" t="n">
        <f aca="false">INDEX(Rank_Rules!$C$2:$C$9,MATCH(B7,Rank_Rules!$A$2:$A$9,0))</f>
        <v>6</v>
      </c>
      <c r="F7" s="2" t="str">
        <f aca="false">IF(AND(C7&gt;=D7,C7&lt;=E7),"OK","MISMATCH")</f>
        <v>OK</v>
      </c>
      <c r="G7" s="6" t="n">
        <f aca="false">Person_Data!H7</f>
        <v>25.7</v>
      </c>
      <c r="H7" s="2" t="str">
        <f aca="false">IF(G7&gt;=65,"HIGH",IF(G7&gt;=50,"MEDIUM","LOW"))</f>
        <v>LOW</v>
      </c>
    </row>
    <row r="8" customFormat="false" ht="15" hidden="false" customHeight="false" outlineLevel="0" collapsed="false">
      <c r="A8" s="2" t="str">
        <f aca="false">Person_Data!A8</f>
        <v>AO19391</v>
      </c>
      <c r="B8" s="2" t="str">
        <f aca="false">Person_Data!C8</f>
        <v>Captain</v>
      </c>
      <c r="C8" s="5" t="n">
        <f aca="false">Person_Data!D8</f>
        <v>7.03</v>
      </c>
      <c r="D8" s="2" t="n">
        <f aca="false">INDEX(Rank_Rules!$B$2:$B$9,MATCH(B8,Rank_Rules!$A$2:$A$9,0))</f>
        <v>7</v>
      </c>
      <c r="E8" s="2" t="n">
        <f aca="false">INDEX(Rank_Rules!$C$2:$C$9,MATCH(B8,Rank_Rules!$A$2:$A$9,0))</f>
        <v>11</v>
      </c>
      <c r="F8" s="2" t="str">
        <f aca="false">IF(AND(C8&gt;=D8,C8&lt;=E8),"OK","MISMATCH")</f>
        <v>OK</v>
      </c>
      <c r="G8" s="6" t="n">
        <f aca="false">Person_Data!H8</f>
        <v>33.7</v>
      </c>
      <c r="H8" s="2" t="str">
        <f aca="false">IF(G8&gt;=65,"HIGH",IF(G8&gt;=50,"MEDIUM","LOW"))</f>
        <v>LOW</v>
      </c>
    </row>
    <row r="9" customFormat="false" ht="15" hidden="false" customHeight="false" outlineLevel="0" collapsed="false">
      <c r="A9" s="2" t="str">
        <f aca="false">Person_Data!A9</f>
        <v>AO18976</v>
      </c>
      <c r="B9" s="2" t="str">
        <f aca="false">Person_Data!C9</f>
        <v>Captain</v>
      </c>
      <c r="C9" s="5" t="n">
        <f aca="false">Person_Data!D9</f>
        <v>8.36</v>
      </c>
      <c r="D9" s="2" t="n">
        <f aca="false">INDEX(Rank_Rules!$B$2:$B$9,MATCH(B9,Rank_Rules!$A$2:$A$9,0))</f>
        <v>7</v>
      </c>
      <c r="E9" s="2" t="n">
        <f aca="false">INDEX(Rank_Rules!$C$2:$C$9,MATCH(B9,Rank_Rules!$A$2:$A$9,0))</f>
        <v>11</v>
      </c>
      <c r="F9" s="2" t="str">
        <f aca="false">IF(AND(C9&gt;=D9,C9&lt;=E9),"OK","MISMATCH")</f>
        <v>OK</v>
      </c>
      <c r="G9" s="6" t="n">
        <f aca="false">Person_Data!H9</f>
        <v>31.2</v>
      </c>
      <c r="H9" s="2" t="str">
        <f aca="false">IF(G9&gt;=65,"HIGH",IF(G9&gt;=50,"MEDIUM","LOW"))</f>
        <v>LOW</v>
      </c>
    </row>
    <row r="10" customFormat="false" ht="15" hidden="false" customHeight="false" outlineLevel="0" collapsed="false">
      <c r="A10" s="2" t="str">
        <f aca="false">Person_Data!A10</f>
        <v>AO13357</v>
      </c>
      <c r="B10" s="2" t="str">
        <f aca="false">Person_Data!C10</f>
        <v>Major</v>
      </c>
      <c r="C10" s="5" t="n">
        <f aca="false">Person_Data!D10</f>
        <v>13.01</v>
      </c>
      <c r="D10" s="2" t="n">
        <f aca="false">INDEX(Rank_Rules!$B$2:$B$9,MATCH(B10,Rank_Rules!$A$2:$A$9,0))</f>
        <v>12</v>
      </c>
      <c r="E10" s="2" t="n">
        <f aca="false">INDEX(Rank_Rules!$C$2:$C$9,MATCH(B10,Rank_Rules!$A$2:$A$9,0))</f>
        <v>15</v>
      </c>
      <c r="F10" s="2" t="str">
        <f aca="false">IF(AND(C10&gt;=D10,C10&lt;=E10),"OK","MISMATCH")</f>
        <v>OK</v>
      </c>
      <c r="G10" s="6" t="n">
        <f aca="false">Person_Data!H10</f>
        <v>58.6</v>
      </c>
      <c r="H10" s="2" t="str">
        <f aca="false">IF(G10&gt;=65,"HIGH",IF(G10&gt;=50,"MEDIUM","LOW"))</f>
        <v>MEDIUM</v>
      </c>
    </row>
    <row r="11" customFormat="false" ht="15" hidden="false" customHeight="false" outlineLevel="0" collapsed="false">
      <c r="A11" s="2" t="str">
        <f aca="false">Person_Data!A11</f>
        <v>AO23290</v>
      </c>
      <c r="B11" s="2" t="str">
        <f aca="false">Person_Data!C11</f>
        <v>Lieutenant</v>
      </c>
      <c r="C11" s="5" t="n">
        <f aca="false">Person_Data!D11</f>
        <v>2.69</v>
      </c>
      <c r="D11" s="2" t="n">
        <f aca="false">INDEX(Rank_Rules!$B$2:$B$9,MATCH(B11,Rank_Rules!$A$2:$A$9,0))</f>
        <v>1</v>
      </c>
      <c r="E11" s="2" t="n">
        <f aca="false">INDEX(Rank_Rules!$C$2:$C$9,MATCH(B11,Rank_Rules!$A$2:$A$9,0))</f>
        <v>3</v>
      </c>
      <c r="F11" s="2" t="str">
        <f aca="false">IF(AND(C11&gt;=D11,C11&lt;=E11),"OK","MISMATCH")</f>
        <v>OK</v>
      </c>
      <c r="G11" s="6" t="n">
        <f aca="false">Person_Data!H11</f>
        <v>47.1</v>
      </c>
      <c r="H11" s="2" t="str">
        <f aca="false">IF(G11&gt;=65,"HIGH",IF(G11&gt;=50,"MEDIUM","LOW"))</f>
        <v>LOW</v>
      </c>
    </row>
    <row r="12" customFormat="false" ht="15" hidden="false" customHeight="false" outlineLevel="0" collapsed="false">
      <c r="A12" s="2" t="str">
        <f aca="false">Person_Data!A12</f>
        <v>AO16547</v>
      </c>
      <c r="B12" s="2" t="str">
        <f aca="false">Person_Data!C12</f>
        <v>Captain</v>
      </c>
      <c r="C12" s="5" t="n">
        <f aca="false">Person_Data!D12</f>
        <v>9.92</v>
      </c>
      <c r="D12" s="2" t="n">
        <f aca="false">INDEX(Rank_Rules!$B$2:$B$9,MATCH(B12,Rank_Rules!$A$2:$A$9,0))</f>
        <v>7</v>
      </c>
      <c r="E12" s="2" t="n">
        <f aca="false">INDEX(Rank_Rules!$C$2:$C$9,MATCH(B12,Rank_Rules!$A$2:$A$9,0))</f>
        <v>11</v>
      </c>
      <c r="F12" s="2" t="str">
        <f aca="false">IF(AND(C12&gt;=D12,C12&lt;=E12),"OK","MISMATCH")</f>
        <v>OK</v>
      </c>
      <c r="G12" s="6" t="n">
        <f aca="false">Person_Data!H12</f>
        <v>69.1</v>
      </c>
      <c r="H12" s="2" t="str">
        <f aca="false">IF(G12&gt;=65,"HIGH",IF(G12&gt;=50,"MEDIUM","LOW"))</f>
        <v>HIGH</v>
      </c>
    </row>
    <row r="13" customFormat="false" ht="15" hidden="false" customHeight="false" outlineLevel="0" collapsed="false">
      <c r="A13" s="2" t="str">
        <f aca="false">Person_Data!A13</f>
        <v>AO13497</v>
      </c>
      <c r="B13" s="2" t="str">
        <f aca="false">Person_Data!C13</f>
        <v>Major</v>
      </c>
      <c r="C13" s="5" t="n">
        <f aca="false">Person_Data!D13</f>
        <v>13.14</v>
      </c>
      <c r="D13" s="2" t="n">
        <f aca="false">INDEX(Rank_Rules!$B$2:$B$9,MATCH(B13,Rank_Rules!$A$2:$A$9,0))</f>
        <v>12</v>
      </c>
      <c r="E13" s="2" t="n">
        <f aca="false">INDEX(Rank_Rules!$C$2:$C$9,MATCH(B13,Rank_Rules!$A$2:$A$9,0))</f>
        <v>15</v>
      </c>
      <c r="F13" s="2" t="str">
        <f aca="false">IF(AND(C13&gt;=D13,C13&lt;=E13),"OK","MISMATCH")</f>
        <v>OK</v>
      </c>
      <c r="G13" s="6" t="n">
        <f aca="false">Person_Data!H13</f>
        <v>51.3</v>
      </c>
      <c r="H13" s="2" t="str">
        <f aca="false">IF(G13&gt;=65,"HIGH",IF(G13&gt;=50,"MEDIUM","LOW"))</f>
        <v>MEDIUM</v>
      </c>
    </row>
    <row r="14" customFormat="false" ht="15" hidden="false" customHeight="false" outlineLevel="0" collapsed="false">
      <c r="A14" s="2" t="str">
        <f aca="false">Person_Data!A14</f>
        <v>AO17259</v>
      </c>
      <c r="B14" s="2" t="str">
        <f aca="false">Person_Data!C14</f>
        <v>Captain</v>
      </c>
      <c r="C14" s="5" t="n">
        <f aca="false">Person_Data!D14</f>
        <v>9.47</v>
      </c>
      <c r="D14" s="2" t="n">
        <f aca="false">INDEX(Rank_Rules!$B$2:$B$9,MATCH(B14,Rank_Rules!$A$2:$A$9,0))</f>
        <v>7</v>
      </c>
      <c r="E14" s="2" t="n">
        <f aca="false">INDEX(Rank_Rules!$C$2:$C$9,MATCH(B14,Rank_Rules!$A$2:$A$9,0))</f>
        <v>11</v>
      </c>
      <c r="F14" s="2" t="str">
        <f aca="false">IF(AND(C14&gt;=D14,C14&lt;=E14),"OK","MISMATCH")</f>
        <v>OK</v>
      </c>
      <c r="G14" s="6" t="n">
        <f aca="false">Person_Data!H14</f>
        <v>48.3</v>
      </c>
      <c r="H14" s="2" t="str">
        <f aca="false">IF(G14&gt;=65,"HIGH",IF(G14&gt;=50,"MEDIUM","LOW"))</f>
        <v>LOW</v>
      </c>
    </row>
    <row r="15" customFormat="false" ht="15" hidden="false" customHeight="false" outlineLevel="0" collapsed="false">
      <c r="A15" s="2" t="str">
        <f aca="false">Person_Data!A15</f>
        <v>AO21304</v>
      </c>
      <c r="B15" s="2" t="str">
        <f aca="false">Person_Data!C15</f>
        <v>Senior Lieutenant</v>
      </c>
      <c r="C15" s="5" t="n">
        <f aca="false">Person_Data!D15</f>
        <v>5.41</v>
      </c>
      <c r="D15" s="2" t="n">
        <f aca="false">INDEX(Rank_Rules!$B$2:$B$9,MATCH(B15,Rank_Rules!$A$2:$A$9,0))</f>
        <v>4</v>
      </c>
      <c r="E15" s="2" t="n">
        <f aca="false">INDEX(Rank_Rules!$C$2:$C$9,MATCH(B15,Rank_Rules!$A$2:$A$9,0))</f>
        <v>6</v>
      </c>
      <c r="F15" s="2" t="str">
        <f aca="false">IF(AND(C15&gt;=D15,C15&lt;=E15),"OK","MISMATCH")</f>
        <v>OK</v>
      </c>
      <c r="G15" s="6" t="n">
        <f aca="false">Person_Data!H15</f>
        <v>43.3</v>
      </c>
      <c r="H15" s="2" t="str">
        <f aca="false">IF(G15&gt;=65,"HIGH",IF(G15&gt;=50,"MEDIUM","LOW"))</f>
        <v>LOW</v>
      </c>
    </row>
    <row r="16" customFormat="false" ht="15" hidden="false" customHeight="false" outlineLevel="0" collapsed="false">
      <c r="A16" s="2" t="str">
        <f aca="false">Person_Data!A16</f>
        <v>AO24033</v>
      </c>
      <c r="B16" s="2" t="str">
        <f aca="false">Person_Data!C16</f>
        <v>Lieutenant</v>
      </c>
      <c r="C16" s="5" t="n">
        <f aca="false">Person_Data!D16</f>
        <v>1.58</v>
      </c>
      <c r="D16" s="2" t="n">
        <f aca="false">INDEX(Rank_Rules!$B$2:$B$9,MATCH(B16,Rank_Rules!$A$2:$A$9,0))</f>
        <v>1</v>
      </c>
      <c r="E16" s="2" t="n">
        <f aca="false">INDEX(Rank_Rules!$C$2:$C$9,MATCH(B16,Rank_Rules!$A$2:$A$9,0))</f>
        <v>3</v>
      </c>
      <c r="F16" s="2" t="str">
        <f aca="false">IF(AND(C16&gt;=D16,C16&lt;=E16),"OK","MISMATCH")</f>
        <v>OK</v>
      </c>
      <c r="G16" s="6" t="n">
        <f aca="false">Person_Data!H16</f>
        <v>41.3</v>
      </c>
      <c r="H16" s="2" t="str">
        <f aca="false">IF(G16&gt;=65,"HIGH",IF(G16&gt;=50,"MEDIUM","LOW"))</f>
        <v>LOW</v>
      </c>
    </row>
    <row r="17" customFormat="false" ht="15" hidden="false" customHeight="false" outlineLevel="0" collapsed="false">
      <c r="A17" s="2" t="str">
        <f aca="false">Person_Data!A17</f>
        <v>AO25712</v>
      </c>
      <c r="B17" s="2" t="str">
        <f aca="false">Person_Data!C17</f>
        <v>Lieutenant</v>
      </c>
      <c r="C17" s="5" t="n">
        <f aca="false">Person_Data!D17</f>
        <v>1.2</v>
      </c>
      <c r="D17" s="2" t="n">
        <f aca="false">INDEX(Rank_Rules!$B$2:$B$9,MATCH(B17,Rank_Rules!$A$2:$A$9,0))</f>
        <v>1</v>
      </c>
      <c r="E17" s="2" t="n">
        <f aca="false">INDEX(Rank_Rules!$C$2:$C$9,MATCH(B17,Rank_Rules!$A$2:$A$9,0))</f>
        <v>3</v>
      </c>
      <c r="F17" s="2" t="str">
        <f aca="false">IF(AND(C17&gt;=D17,C17&lt;=E17),"OK","MISMATCH")</f>
        <v>OK</v>
      </c>
      <c r="G17" s="6" t="n">
        <f aca="false">Person_Data!H17</f>
        <v>24.8</v>
      </c>
      <c r="H17" s="2" t="str">
        <f aca="false">IF(G17&gt;=65,"HIGH",IF(G17&gt;=50,"MEDIUM","LOW"))</f>
        <v>LOW</v>
      </c>
    </row>
    <row r="18" customFormat="false" ht="15" hidden="false" customHeight="false" outlineLevel="0" collapsed="false">
      <c r="A18" s="2" t="str">
        <f aca="false">Person_Data!A18</f>
        <v>AO21586</v>
      </c>
      <c r="B18" s="2" t="str">
        <f aca="false">Person_Data!C18</f>
        <v>Senior Lieutenant</v>
      </c>
      <c r="C18" s="5" t="n">
        <f aca="false">Person_Data!D18</f>
        <v>4.73</v>
      </c>
      <c r="D18" s="2" t="n">
        <f aca="false">INDEX(Rank_Rules!$B$2:$B$9,MATCH(B18,Rank_Rules!$A$2:$A$9,0))</f>
        <v>4</v>
      </c>
      <c r="E18" s="2" t="n">
        <f aca="false">INDEX(Rank_Rules!$C$2:$C$9,MATCH(B18,Rank_Rules!$A$2:$A$9,0))</f>
        <v>6</v>
      </c>
      <c r="F18" s="2" t="str">
        <f aca="false">IF(AND(C18&gt;=D18,C18&lt;=E18),"OK","MISMATCH")</f>
        <v>OK</v>
      </c>
      <c r="G18" s="6" t="n">
        <f aca="false">Person_Data!H18</f>
        <v>37.7</v>
      </c>
      <c r="H18" s="2" t="str">
        <f aca="false">IF(G18&gt;=65,"HIGH",IF(G18&gt;=50,"MEDIUM","LOW"))</f>
        <v>LOW</v>
      </c>
    </row>
    <row r="19" customFormat="false" ht="15" hidden="false" customHeight="false" outlineLevel="0" collapsed="false">
      <c r="A19" s="2" t="str">
        <f aca="false">Person_Data!A19</f>
        <v>AO24023</v>
      </c>
      <c r="B19" s="2" t="str">
        <f aca="false">Person_Data!C19</f>
        <v>Lieutenant</v>
      </c>
      <c r="C19" s="5" t="n">
        <f aca="false">Person_Data!D19</f>
        <v>1.53</v>
      </c>
      <c r="D19" s="2" t="n">
        <f aca="false">INDEX(Rank_Rules!$B$2:$B$9,MATCH(B19,Rank_Rules!$A$2:$A$9,0))</f>
        <v>1</v>
      </c>
      <c r="E19" s="2" t="n">
        <f aca="false">INDEX(Rank_Rules!$C$2:$C$9,MATCH(B19,Rank_Rules!$A$2:$A$9,0))</f>
        <v>3</v>
      </c>
      <c r="F19" s="2" t="str">
        <f aca="false">IF(AND(C19&gt;=D19,C19&lt;=E19),"OK","MISMATCH")</f>
        <v>OK</v>
      </c>
      <c r="G19" s="6" t="n">
        <f aca="false">Person_Data!H19</f>
        <v>52</v>
      </c>
      <c r="H19" s="2" t="str">
        <f aca="false">IF(G19&gt;=65,"HIGH",IF(G19&gt;=50,"MEDIUM","LOW"))</f>
        <v>MEDIUM</v>
      </c>
    </row>
    <row r="20" customFormat="false" ht="15" hidden="false" customHeight="false" outlineLevel="0" collapsed="false">
      <c r="A20" s="2" t="str">
        <f aca="false">Person_Data!A20</f>
        <v>AO21458</v>
      </c>
      <c r="B20" s="2" t="str">
        <f aca="false">Person_Data!C20</f>
        <v>Senior Lieutenant</v>
      </c>
      <c r="C20" s="5" t="n">
        <f aca="false">Person_Data!D20</f>
        <v>5.22</v>
      </c>
      <c r="D20" s="2" t="n">
        <f aca="false">INDEX(Rank_Rules!$B$2:$B$9,MATCH(B20,Rank_Rules!$A$2:$A$9,0))</f>
        <v>4</v>
      </c>
      <c r="E20" s="2" t="n">
        <f aca="false">INDEX(Rank_Rules!$C$2:$C$9,MATCH(B20,Rank_Rules!$A$2:$A$9,0))</f>
        <v>6</v>
      </c>
      <c r="F20" s="2" t="str">
        <f aca="false">IF(AND(C20&gt;=D20,C20&lt;=E20),"OK","MISMATCH")</f>
        <v>OK</v>
      </c>
      <c r="G20" s="6" t="n">
        <f aca="false">Person_Data!H20</f>
        <v>37.9</v>
      </c>
      <c r="H20" s="2" t="str">
        <f aca="false">IF(G20&gt;=65,"HIGH",IF(G20&gt;=50,"MEDIUM","LOW"))</f>
        <v>LOW</v>
      </c>
    </row>
    <row r="21" customFormat="false" ht="15" hidden="false" customHeight="false" outlineLevel="0" collapsed="false">
      <c r="A21" s="2" t="str">
        <f aca="false">Person_Data!A21</f>
        <v>AO18524</v>
      </c>
      <c r="B21" s="2" t="str">
        <f aca="false">Person_Data!C21</f>
        <v>Captain</v>
      </c>
      <c r="C21" s="5" t="n">
        <f aca="false">Person_Data!D21</f>
        <v>7.65</v>
      </c>
      <c r="D21" s="2" t="n">
        <f aca="false">INDEX(Rank_Rules!$B$2:$B$9,MATCH(B21,Rank_Rules!$A$2:$A$9,0))</f>
        <v>7</v>
      </c>
      <c r="E21" s="2" t="n">
        <f aca="false">INDEX(Rank_Rules!$C$2:$C$9,MATCH(B21,Rank_Rules!$A$2:$A$9,0))</f>
        <v>11</v>
      </c>
      <c r="F21" s="2" t="str">
        <f aca="false">IF(AND(C21&gt;=D21,C21&lt;=E21),"OK","MISMATCH")</f>
        <v>OK</v>
      </c>
      <c r="G21" s="6" t="n">
        <f aca="false">Person_Data!H21</f>
        <v>45.3</v>
      </c>
      <c r="H21" s="2" t="str">
        <f aca="false">IF(G21&gt;=65,"HIGH",IF(G21&gt;=50,"MEDIUM","LOW"))</f>
        <v>LOW</v>
      </c>
    </row>
    <row r="22" customFormat="false" ht="15" hidden="false" customHeight="false" outlineLevel="0" collapsed="false">
      <c r="A22" s="2" t="str">
        <f aca="false">Person_Data!A22</f>
        <v>AO12328</v>
      </c>
      <c r="B22" s="2" t="str">
        <f aca="false">Person_Data!C22</f>
        <v>Major</v>
      </c>
      <c r="C22" s="5" t="n">
        <f aca="false">Person_Data!D22</f>
        <v>13.92</v>
      </c>
      <c r="D22" s="2" t="n">
        <f aca="false">INDEX(Rank_Rules!$B$2:$B$9,MATCH(B22,Rank_Rules!$A$2:$A$9,0))</f>
        <v>12</v>
      </c>
      <c r="E22" s="2" t="n">
        <f aca="false">INDEX(Rank_Rules!$C$2:$C$9,MATCH(B22,Rank_Rules!$A$2:$A$9,0))</f>
        <v>15</v>
      </c>
      <c r="F22" s="2" t="str">
        <f aca="false">IF(AND(C22&gt;=D22,C22&lt;=E22),"OK","MISMATCH")</f>
        <v>OK</v>
      </c>
      <c r="G22" s="6" t="n">
        <f aca="false">Person_Data!H22</f>
        <v>46.4</v>
      </c>
      <c r="H22" s="2" t="str">
        <f aca="false">IF(G22&gt;=65,"HIGH",IF(G22&gt;=50,"MEDIUM","LOW"))</f>
        <v>LOW</v>
      </c>
    </row>
    <row r="23" customFormat="false" ht="15" hidden="false" customHeight="false" outlineLevel="0" collapsed="false">
      <c r="A23" s="2" t="str">
        <f aca="false">Person_Data!A23</f>
        <v>AO16636</v>
      </c>
      <c r="B23" s="2" t="str">
        <f aca="false">Person_Data!C23</f>
        <v>Captain</v>
      </c>
      <c r="C23" s="5" t="n">
        <f aca="false">Person_Data!D23</f>
        <v>10.37</v>
      </c>
      <c r="D23" s="2" t="n">
        <f aca="false">INDEX(Rank_Rules!$B$2:$B$9,MATCH(B23,Rank_Rules!$A$2:$A$9,0))</f>
        <v>7</v>
      </c>
      <c r="E23" s="2" t="n">
        <f aca="false">INDEX(Rank_Rules!$C$2:$C$9,MATCH(B23,Rank_Rules!$A$2:$A$9,0))</f>
        <v>11</v>
      </c>
      <c r="F23" s="2" t="str">
        <f aca="false">IF(AND(C23&gt;=D23,C23&lt;=E23),"OK","MISMATCH")</f>
        <v>OK</v>
      </c>
      <c r="G23" s="6" t="n">
        <f aca="false">Person_Data!H23</f>
        <v>54.6</v>
      </c>
      <c r="H23" s="2" t="str">
        <f aca="false">IF(G23&gt;=65,"HIGH",IF(G23&gt;=50,"MEDIUM","LOW"))</f>
        <v>MEDIUM</v>
      </c>
    </row>
    <row r="24" customFormat="false" ht="15" hidden="false" customHeight="false" outlineLevel="0" collapsed="false">
      <c r="A24" s="2" t="str">
        <f aca="false">Person_Data!A24</f>
        <v>AO25389</v>
      </c>
      <c r="B24" s="2" t="str">
        <f aca="false">Person_Data!C24</f>
        <v>Lieutenant</v>
      </c>
      <c r="C24" s="5" t="n">
        <f aca="false">Person_Data!D24</f>
        <v>1.06</v>
      </c>
      <c r="D24" s="2" t="n">
        <f aca="false">INDEX(Rank_Rules!$B$2:$B$9,MATCH(B24,Rank_Rules!$A$2:$A$9,0))</f>
        <v>1</v>
      </c>
      <c r="E24" s="2" t="n">
        <f aca="false">INDEX(Rank_Rules!$C$2:$C$9,MATCH(B24,Rank_Rules!$A$2:$A$9,0))</f>
        <v>3</v>
      </c>
      <c r="F24" s="2" t="str">
        <f aca="false">IF(AND(C24&gt;=D24,C24&lt;=E24),"OK","MISMATCH")</f>
        <v>OK</v>
      </c>
      <c r="G24" s="6" t="n">
        <f aca="false">Person_Data!H24</f>
        <v>57.4</v>
      </c>
      <c r="H24" s="2" t="str">
        <f aca="false">IF(G24&gt;=65,"HIGH",IF(G24&gt;=50,"MEDIUM","LOW"))</f>
        <v>MEDIUM</v>
      </c>
    </row>
    <row r="25" customFormat="false" ht="15" hidden="false" customHeight="false" outlineLevel="0" collapsed="false">
      <c r="A25" s="2" t="str">
        <f aca="false">Person_Data!A25</f>
        <v>AO25228</v>
      </c>
      <c r="B25" s="2" t="str">
        <f aca="false">Person_Data!C25</f>
        <v>Lieutenant</v>
      </c>
      <c r="C25" s="5" t="n">
        <f aca="false">Person_Data!D25</f>
        <v>1.42</v>
      </c>
      <c r="D25" s="2" t="n">
        <f aca="false">INDEX(Rank_Rules!$B$2:$B$9,MATCH(B25,Rank_Rules!$A$2:$A$9,0))</f>
        <v>1</v>
      </c>
      <c r="E25" s="2" t="n">
        <f aca="false">INDEX(Rank_Rules!$C$2:$C$9,MATCH(B25,Rank_Rules!$A$2:$A$9,0))</f>
        <v>3</v>
      </c>
      <c r="F25" s="2" t="str">
        <f aca="false">IF(AND(C25&gt;=D25,C25&lt;=E25),"OK","MISMATCH")</f>
        <v>OK</v>
      </c>
      <c r="G25" s="6" t="n">
        <f aca="false">Person_Data!H25</f>
        <v>56.8</v>
      </c>
      <c r="H25" s="2" t="str">
        <f aca="false">IF(G25&gt;=65,"HIGH",IF(G25&gt;=50,"MEDIUM","LOW"))</f>
        <v>MEDIUM</v>
      </c>
    </row>
    <row r="26" customFormat="false" ht="15" hidden="false" customHeight="false" outlineLevel="0" collapsed="false">
      <c r="A26" s="2" t="str">
        <f aca="false">Person_Data!A26</f>
        <v>AO18688</v>
      </c>
      <c r="B26" s="2" t="str">
        <f aca="false">Person_Data!C26</f>
        <v>Captain</v>
      </c>
      <c r="C26" s="5" t="n">
        <f aca="false">Person_Data!D26</f>
        <v>8.26</v>
      </c>
      <c r="D26" s="2" t="n">
        <f aca="false">INDEX(Rank_Rules!$B$2:$B$9,MATCH(B26,Rank_Rules!$A$2:$A$9,0))</f>
        <v>7</v>
      </c>
      <c r="E26" s="2" t="n">
        <f aca="false">INDEX(Rank_Rules!$C$2:$C$9,MATCH(B26,Rank_Rules!$A$2:$A$9,0))</f>
        <v>11</v>
      </c>
      <c r="F26" s="2" t="str">
        <f aca="false">IF(AND(C26&gt;=D26,C26&lt;=E26),"OK","MISMATCH")</f>
        <v>OK</v>
      </c>
      <c r="G26" s="6" t="n">
        <f aca="false">Person_Data!H26</f>
        <v>44.9</v>
      </c>
      <c r="H26" s="2" t="str">
        <f aca="false">IF(G26&gt;=65,"HIGH",IF(G26&gt;=50,"MEDIUM","LOW"))</f>
        <v>LOW</v>
      </c>
    </row>
    <row r="27" customFormat="false" ht="15" hidden="false" customHeight="false" outlineLevel="0" collapsed="false">
      <c r="A27" s="2" t="str">
        <f aca="false">Person_Data!A27</f>
        <v>AO20164</v>
      </c>
      <c r="B27" s="2" t="str">
        <f aca="false">Person_Data!C27</f>
        <v>Senior Lieutenant</v>
      </c>
      <c r="C27" s="5" t="n">
        <f aca="false">Person_Data!D27</f>
        <v>5.83</v>
      </c>
      <c r="D27" s="2" t="n">
        <f aca="false">INDEX(Rank_Rules!$B$2:$B$9,MATCH(B27,Rank_Rules!$A$2:$A$9,0))</f>
        <v>4</v>
      </c>
      <c r="E27" s="2" t="n">
        <f aca="false">INDEX(Rank_Rules!$C$2:$C$9,MATCH(B27,Rank_Rules!$A$2:$A$9,0))</f>
        <v>6</v>
      </c>
      <c r="F27" s="2" t="str">
        <f aca="false">IF(AND(C27&gt;=D27,C27&lt;=E27),"OK","MISMATCH")</f>
        <v>OK</v>
      </c>
      <c r="G27" s="6" t="n">
        <f aca="false">Person_Data!H27</f>
        <v>63.3</v>
      </c>
      <c r="H27" s="2" t="str">
        <f aca="false">IF(G27&gt;=65,"HIGH",IF(G27&gt;=50,"MEDIUM","LOW"))</f>
        <v>MEDIUM</v>
      </c>
    </row>
    <row r="28" customFormat="false" ht="15" hidden="false" customHeight="false" outlineLevel="0" collapsed="false">
      <c r="A28" s="2" t="str">
        <f aca="false">Person_Data!A28</f>
        <v>AO25328</v>
      </c>
      <c r="B28" s="2" t="str">
        <f aca="false">Person_Data!C28</f>
        <v>Lieutenant</v>
      </c>
      <c r="C28" s="5" t="n">
        <f aca="false">Person_Data!D28</f>
        <v>1.49</v>
      </c>
      <c r="D28" s="2" t="n">
        <f aca="false">INDEX(Rank_Rules!$B$2:$B$9,MATCH(B28,Rank_Rules!$A$2:$A$9,0))</f>
        <v>1</v>
      </c>
      <c r="E28" s="2" t="n">
        <f aca="false">INDEX(Rank_Rules!$C$2:$C$9,MATCH(B28,Rank_Rules!$A$2:$A$9,0))</f>
        <v>3</v>
      </c>
      <c r="F28" s="2" t="str">
        <f aca="false">IF(AND(C28&gt;=D28,C28&lt;=E28),"OK","MISMATCH")</f>
        <v>OK</v>
      </c>
      <c r="G28" s="6" t="n">
        <f aca="false">Person_Data!H28</f>
        <v>32.7</v>
      </c>
      <c r="H28" s="2" t="str">
        <f aca="false">IF(G28&gt;=65,"HIGH",IF(G28&gt;=50,"MEDIUM","LOW"))</f>
        <v>LOW</v>
      </c>
    </row>
    <row r="29" customFormat="false" ht="15" hidden="false" customHeight="false" outlineLevel="0" collapsed="false">
      <c r="A29" s="2" t="str">
        <f aca="false">Person_Data!A29</f>
        <v>AO24416</v>
      </c>
      <c r="B29" s="2" t="str">
        <f aca="false">Person_Data!C29</f>
        <v>Lieutenant</v>
      </c>
      <c r="C29" s="5" t="n">
        <f aca="false">Person_Data!D29</f>
        <v>2.17</v>
      </c>
      <c r="D29" s="2" t="n">
        <f aca="false">INDEX(Rank_Rules!$B$2:$B$9,MATCH(B29,Rank_Rules!$A$2:$A$9,0))</f>
        <v>1</v>
      </c>
      <c r="E29" s="2" t="n">
        <f aca="false">INDEX(Rank_Rules!$C$2:$C$9,MATCH(B29,Rank_Rules!$A$2:$A$9,0))</f>
        <v>3</v>
      </c>
      <c r="F29" s="2" t="str">
        <f aca="false">IF(AND(C29&gt;=D29,C29&lt;=E29),"OK","MISMATCH")</f>
        <v>OK</v>
      </c>
      <c r="G29" s="6" t="n">
        <f aca="false">Person_Data!H29</f>
        <v>36.7</v>
      </c>
      <c r="H29" s="2" t="str">
        <f aca="false">IF(G29&gt;=65,"HIGH",IF(G29&gt;=50,"MEDIUM","LOW"))</f>
        <v>LOW</v>
      </c>
    </row>
    <row r="30" customFormat="false" ht="15" hidden="false" customHeight="false" outlineLevel="0" collapsed="false">
      <c r="A30" s="2" t="str">
        <f aca="false">Person_Data!A30</f>
        <v>AO22646</v>
      </c>
      <c r="B30" s="2" t="str">
        <f aca="false">Person_Data!C30</f>
        <v>Senior Lieutenant</v>
      </c>
      <c r="C30" s="5" t="n">
        <f aca="false">Person_Data!D30</f>
        <v>4.44</v>
      </c>
      <c r="D30" s="2" t="n">
        <f aca="false">INDEX(Rank_Rules!$B$2:$B$9,MATCH(B30,Rank_Rules!$A$2:$A$9,0))</f>
        <v>4</v>
      </c>
      <c r="E30" s="2" t="n">
        <f aca="false">INDEX(Rank_Rules!$C$2:$C$9,MATCH(B30,Rank_Rules!$A$2:$A$9,0))</f>
        <v>6</v>
      </c>
      <c r="F30" s="2" t="str">
        <f aca="false">IF(AND(C30&gt;=D30,C30&lt;=E30),"OK","MISMATCH")</f>
        <v>OK</v>
      </c>
      <c r="G30" s="6" t="n">
        <f aca="false">Person_Data!H30</f>
        <v>64.7</v>
      </c>
      <c r="H30" s="2" t="str">
        <f aca="false">IF(G30&gt;=65,"HIGH",IF(G30&gt;=50,"MEDIUM","LOW"))</f>
        <v>MEDIUM</v>
      </c>
    </row>
    <row r="31" customFormat="false" ht="15" hidden="false" customHeight="false" outlineLevel="0" collapsed="false">
      <c r="A31" s="2" t="str">
        <f aca="false">Person_Data!A31</f>
        <v>AO22701</v>
      </c>
      <c r="B31" s="2" t="str">
        <f aca="false">Person_Data!C31</f>
        <v>Senior Lieutenant</v>
      </c>
      <c r="C31" s="5" t="n">
        <f aca="false">Person_Data!D31</f>
        <v>4.18</v>
      </c>
      <c r="D31" s="2" t="n">
        <f aca="false">INDEX(Rank_Rules!$B$2:$B$9,MATCH(B31,Rank_Rules!$A$2:$A$9,0))</f>
        <v>4</v>
      </c>
      <c r="E31" s="2" t="n">
        <f aca="false">INDEX(Rank_Rules!$C$2:$C$9,MATCH(B31,Rank_Rules!$A$2:$A$9,0))</f>
        <v>6</v>
      </c>
      <c r="F31" s="2" t="str">
        <f aca="false">IF(AND(C31&gt;=D31,C31&lt;=E31),"OK","MISMATCH")</f>
        <v>OK</v>
      </c>
      <c r="G31" s="6" t="n">
        <f aca="false">Person_Data!H31</f>
        <v>40.7</v>
      </c>
      <c r="H31" s="2" t="str">
        <f aca="false">IF(G31&gt;=65,"HIGH",IF(G31&gt;=50,"MEDIUM","LOW"))</f>
        <v>LOW</v>
      </c>
    </row>
    <row r="32" customFormat="false" ht="15" hidden="false" customHeight="false" outlineLevel="0" collapsed="false">
      <c r="A32" s="2" t="str">
        <f aca="false">Person_Data!A32</f>
        <v>AO24250</v>
      </c>
      <c r="B32" s="2" t="str">
        <f aca="false">Person_Data!C32</f>
        <v>Lieutenant</v>
      </c>
      <c r="C32" s="5" t="n">
        <f aca="false">Person_Data!D32</f>
        <v>2.25</v>
      </c>
      <c r="D32" s="2" t="n">
        <f aca="false">INDEX(Rank_Rules!$B$2:$B$9,MATCH(B32,Rank_Rules!$A$2:$A$9,0))</f>
        <v>1</v>
      </c>
      <c r="E32" s="2" t="n">
        <f aca="false">INDEX(Rank_Rules!$C$2:$C$9,MATCH(B32,Rank_Rules!$A$2:$A$9,0))</f>
        <v>3</v>
      </c>
      <c r="F32" s="2" t="str">
        <f aca="false">IF(AND(C32&gt;=D32,C32&lt;=E32),"OK","MISMATCH")</f>
        <v>OK</v>
      </c>
      <c r="G32" s="6" t="n">
        <f aca="false">Person_Data!H32</f>
        <v>47.4</v>
      </c>
      <c r="H32" s="2" t="str">
        <f aca="false">IF(G32&gt;=65,"HIGH",IF(G32&gt;=50,"MEDIUM","LOW"))</f>
        <v>LOW</v>
      </c>
    </row>
    <row r="33" customFormat="false" ht="15" hidden="false" customHeight="false" outlineLevel="0" collapsed="false">
      <c r="A33" s="2" t="str">
        <f aca="false">Person_Data!A33</f>
        <v>AO22585</v>
      </c>
      <c r="B33" s="2" t="str">
        <f aca="false">Person_Data!C33</f>
        <v>Senior Lieutenant</v>
      </c>
      <c r="C33" s="5" t="n">
        <f aca="false">Person_Data!D33</f>
        <v>4.13</v>
      </c>
      <c r="D33" s="2" t="n">
        <f aca="false">INDEX(Rank_Rules!$B$2:$B$9,MATCH(B33,Rank_Rules!$A$2:$A$9,0))</f>
        <v>4</v>
      </c>
      <c r="E33" s="2" t="n">
        <f aca="false">INDEX(Rank_Rules!$C$2:$C$9,MATCH(B33,Rank_Rules!$A$2:$A$9,0))</f>
        <v>6</v>
      </c>
      <c r="F33" s="2" t="str">
        <f aca="false">IF(AND(C33&gt;=D33,C33&lt;=E33),"OK","MISMATCH")</f>
        <v>OK</v>
      </c>
      <c r="G33" s="6" t="n">
        <f aca="false">Person_Data!H33</f>
        <v>29.7</v>
      </c>
      <c r="H33" s="2" t="str">
        <f aca="false">IF(G33&gt;=65,"HIGH",IF(G33&gt;=50,"MEDIUM","LOW"))</f>
        <v>LOW</v>
      </c>
    </row>
    <row r="34" customFormat="false" ht="15" hidden="false" customHeight="false" outlineLevel="0" collapsed="false">
      <c r="A34" s="2" t="str">
        <f aca="false">Person_Data!A34</f>
        <v>AO12461</v>
      </c>
      <c r="B34" s="2" t="str">
        <f aca="false">Person_Data!C34</f>
        <v>Major</v>
      </c>
      <c r="C34" s="5" t="n">
        <f aca="false">Person_Data!D34</f>
        <v>13.59</v>
      </c>
      <c r="D34" s="2" t="n">
        <f aca="false">INDEX(Rank_Rules!$B$2:$B$9,MATCH(B34,Rank_Rules!$A$2:$A$9,0))</f>
        <v>12</v>
      </c>
      <c r="E34" s="2" t="n">
        <f aca="false">INDEX(Rank_Rules!$C$2:$C$9,MATCH(B34,Rank_Rules!$A$2:$A$9,0))</f>
        <v>15</v>
      </c>
      <c r="F34" s="2" t="str">
        <f aca="false">IF(AND(C34&gt;=D34,C34&lt;=E34),"OK","MISMATCH")</f>
        <v>OK</v>
      </c>
      <c r="G34" s="6" t="n">
        <f aca="false">Person_Data!H34</f>
        <v>62.1</v>
      </c>
      <c r="H34" s="2" t="str">
        <f aca="false">IF(G34&gt;=65,"HIGH",IF(G34&gt;=50,"MEDIUM","LOW"))</f>
        <v>MEDIUM</v>
      </c>
    </row>
    <row r="35" customFormat="false" ht="15" hidden="false" customHeight="false" outlineLevel="0" collapsed="false">
      <c r="A35" s="2" t="str">
        <f aca="false">Person_Data!A35</f>
        <v>AO19336</v>
      </c>
      <c r="B35" s="2" t="str">
        <f aca="false">Person_Data!C35</f>
        <v>Captain</v>
      </c>
      <c r="C35" s="5" t="n">
        <f aca="false">Person_Data!D35</f>
        <v>7.05</v>
      </c>
      <c r="D35" s="2" t="n">
        <f aca="false">INDEX(Rank_Rules!$B$2:$B$9,MATCH(B35,Rank_Rules!$A$2:$A$9,0))</f>
        <v>7</v>
      </c>
      <c r="E35" s="2" t="n">
        <f aca="false">INDEX(Rank_Rules!$C$2:$C$9,MATCH(B35,Rank_Rules!$A$2:$A$9,0))</f>
        <v>11</v>
      </c>
      <c r="F35" s="2" t="str">
        <f aca="false">IF(AND(C35&gt;=D35,C35&lt;=E35),"OK","MISMATCH")</f>
        <v>OK</v>
      </c>
      <c r="G35" s="6" t="n">
        <f aca="false">Person_Data!H35</f>
        <v>59.6</v>
      </c>
      <c r="H35" s="2" t="str">
        <f aca="false">IF(G35&gt;=65,"HIGH",IF(G35&gt;=50,"MEDIUM","LOW"))</f>
        <v>MEDIUM</v>
      </c>
    </row>
    <row r="36" customFormat="false" ht="15" hidden="false" customHeight="false" outlineLevel="0" collapsed="false">
      <c r="A36" s="2" t="str">
        <f aca="false">Person_Data!A36</f>
        <v>AO17172</v>
      </c>
      <c r="B36" s="2" t="str">
        <f aca="false">Person_Data!C36</f>
        <v>Captain</v>
      </c>
      <c r="C36" s="5" t="n">
        <f aca="false">Person_Data!D36</f>
        <v>9.15</v>
      </c>
      <c r="D36" s="2" t="n">
        <f aca="false">INDEX(Rank_Rules!$B$2:$B$9,MATCH(B36,Rank_Rules!$A$2:$A$9,0))</f>
        <v>7</v>
      </c>
      <c r="E36" s="2" t="n">
        <f aca="false">INDEX(Rank_Rules!$C$2:$C$9,MATCH(B36,Rank_Rules!$A$2:$A$9,0))</f>
        <v>11</v>
      </c>
      <c r="F36" s="2" t="str">
        <f aca="false">IF(AND(C36&gt;=D36,C36&lt;=E36),"OK","MISMATCH")</f>
        <v>OK</v>
      </c>
      <c r="G36" s="6" t="n">
        <f aca="false">Person_Data!H36</f>
        <v>47.4</v>
      </c>
      <c r="H36" s="2" t="str">
        <f aca="false">IF(G36&gt;=65,"HIGH",IF(G36&gt;=50,"MEDIUM","LOW"))</f>
        <v>LOW</v>
      </c>
    </row>
    <row r="37" customFormat="false" ht="15" hidden="false" customHeight="false" outlineLevel="0" collapsed="false">
      <c r="A37" s="2" t="str">
        <f aca="false">Person_Data!A37</f>
        <v>AO22921</v>
      </c>
      <c r="B37" s="2" t="str">
        <f aca="false">Person_Data!C37</f>
        <v>Senior Lieutenant</v>
      </c>
      <c r="C37" s="5" t="n">
        <f aca="false">Person_Data!D37</f>
        <v>4.22</v>
      </c>
      <c r="D37" s="2" t="n">
        <f aca="false">INDEX(Rank_Rules!$B$2:$B$9,MATCH(B37,Rank_Rules!$A$2:$A$9,0))</f>
        <v>4</v>
      </c>
      <c r="E37" s="2" t="n">
        <f aca="false">INDEX(Rank_Rules!$C$2:$C$9,MATCH(B37,Rank_Rules!$A$2:$A$9,0))</f>
        <v>6</v>
      </c>
      <c r="F37" s="2" t="str">
        <f aca="false">IF(AND(C37&gt;=D37,C37&lt;=E37),"OK","MISMATCH")</f>
        <v>OK</v>
      </c>
      <c r="G37" s="6" t="n">
        <f aca="false">Person_Data!H37</f>
        <v>53.4</v>
      </c>
      <c r="H37" s="2" t="str">
        <f aca="false">IF(G37&gt;=65,"HIGH",IF(G37&gt;=50,"MEDIUM","LOW"))</f>
        <v>MEDIUM</v>
      </c>
    </row>
    <row r="38" customFormat="false" ht="15" hidden="false" customHeight="false" outlineLevel="0" collapsed="false">
      <c r="A38" s="2" t="str">
        <f aca="false">Person_Data!A38</f>
        <v>AO20473</v>
      </c>
      <c r="B38" s="2" t="str">
        <f aca="false">Person_Data!C38</f>
        <v>Senior Lieutenant</v>
      </c>
      <c r="C38" s="5" t="n">
        <f aca="false">Person_Data!D38</f>
        <v>5.91</v>
      </c>
      <c r="D38" s="2" t="n">
        <f aca="false">INDEX(Rank_Rules!$B$2:$B$9,MATCH(B38,Rank_Rules!$A$2:$A$9,0))</f>
        <v>4</v>
      </c>
      <c r="E38" s="2" t="n">
        <f aca="false">INDEX(Rank_Rules!$C$2:$C$9,MATCH(B38,Rank_Rules!$A$2:$A$9,0))</f>
        <v>6</v>
      </c>
      <c r="F38" s="2" t="str">
        <f aca="false">IF(AND(C38&gt;=D38,C38&lt;=E38),"OK","MISMATCH")</f>
        <v>OK</v>
      </c>
      <c r="G38" s="6" t="n">
        <f aca="false">Person_Data!H38</f>
        <v>54.8</v>
      </c>
      <c r="H38" s="2" t="str">
        <f aca="false">IF(G38&gt;=65,"HIGH",IF(G38&gt;=50,"MEDIUM","LOW"))</f>
        <v>MEDIUM</v>
      </c>
    </row>
    <row r="39" customFormat="false" ht="15" hidden="false" customHeight="false" outlineLevel="0" collapsed="false">
      <c r="A39" s="2" t="str">
        <f aca="false">Person_Data!A39</f>
        <v>AO24361</v>
      </c>
      <c r="B39" s="2" t="str">
        <f aca="false">Person_Data!C39</f>
        <v>Lieutenant</v>
      </c>
      <c r="C39" s="5" t="n">
        <f aca="false">Person_Data!D39</f>
        <v>2</v>
      </c>
      <c r="D39" s="2" t="n">
        <f aca="false">INDEX(Rank_Rules!$B$2:$B$9,MATCH(B39,Rank_Rules!$A$2:$A$9,0))</f>
        <v>1</v>
      </c>
      <c r="E39" s="2" t="n">
        <f aca="false">INDEX(Rank_Rules!$C$2:$C$9,MATCH(B39,Rank_Rules!$A$2:$A$9,0))</f>
        <v>3</v>
      </c>
      <c r="F39" s="2" t="str">
        <f aca="false">IF(AND(C39&gt;=D39,C39&lt;=E39),"OK","MISMATCH")</f>
        <v>OK</v>
      </c>
      <c r="G39" s="6" t="n">
        <f aca="false">Person_Data!H39</f>
        <v>54.9</v>
      </c>
      <c r="H39" s="2" t="str">
        <f aca="false">IF(G39&gt;=65,"HIGH",IF(G39&gt;=50,"MEDIUM","LOW"))</f>
        <v>MEDIUM</v>
      </c>
    </row>
    <row r="40" customFormat="false" ht="15" hidden="false" customHeight="false" outlineLevel="0" collapsed="false">
      <c r="A40" s="2" t="str">
        <f aca="false">Person_Data!A40</f>
        <v>AO11628</v>
      </c>
      <c r="B40" s="2" t="str">
        <f aca="false">Person_Data!C40</f>
        <v>Major</v>
      </c>
      <c r="C40" s="5" t="n">
        <f aca="false">Person_Data!D40</f>
        <v>14.61</v>
      </c>
      <c r="D40" s="2" t="n">
        <f aca="false">INDEX(Rank_Rules!$B$2:$B$9,MATCH(B40,Rank_Rules!$A$2:$A$9,0))</f>
        <v>12</v>
      </c>
      <c r="E40" s="2" t="n">
        <f aca="false">INDEX(Rank_Rules!$C$2:$C$9,MATCH(B40,Rank_Rules!$A$2:$A$9,0))</f>
        <v>15</v>
      </c>
      <c r="F40" s="2" t="str">
        <f aca="false">IF(AND(C40&gt;=D40,C40&lt;=E40),"OK","MISMATCH")</f>
        <v>OK</v>
      </c>
      <c r="G40" s="6" t="n">
        <f aca="false">Person_Data!H40</f>
        <v>69</v>
      </c>
      <c r="H40" s="2" t="str">
        <f aca="false">IF(G40&gt;=65,"HIGH",IF(G40&gt;=50,"MEDIUM","LOW"))</f>
        <v>HIGH</v>
      </c>
    </row>
    <row r="41" customFormat="false" ht="15" hidden="false" customHeight="false" outlineLevel="0" collapsed="false">
      <c r="A41" s="2" t="str">
        <f aca="false">Person_Data!A41</f>
        <v>AO21607</v>
      </c>
      <c r="B41" s="2" t="str">
        <f aca="false">Person_Data!C41</f>
        <v>Senior Lieutenant</v>
      </c>
      <c r="C41" s="5" t="n">
        <f aca="false">Person_Data!D41</f>
        <v>5.22</v>
      </c>
      <c r="D41" s="2" t="n">
        <f aca="false">INDEX(Rank_Rules!$B$2:$B$9,MATCH(B41,Rank_Rules!$A$2:$A$9,0))</f>
        <v>4</v>
      </c>
      <c r="E41" s="2" t="n">
        <f aca="false">INDEX(Rank_Rules!$C$2:$C$9,MATCH(B41,Rank_Rules!$A$2:$A$9,0))</f>
        <v>6</v>
      </c>
      <c r="F41" s="2" t="str">
        <f aca="false">IF(AND(C41&gt;=D41,C41&lt;=E41),"OK","MISMATCH")</f>
        <v>OK</v>
      </c>
      <c r="G41" s="6" t="n">
        <f aca="false">Person_Data!H41</f>
        <v>37.7</v>
      </c>
      <c r="H41" s="2" t="str">
        <f aca="false">IF(G41&gt;=65,"HIGH",IF(G41&gt;=50,"MEDIUM","LOW"))</f>
        <v>LOW</v>
      </c>
    </row>
    <row r="42" customFormat="false" ht="15" hidden="false" customHeight="false" outlineLevel="0" collapsed="false">
      <c r="A42" s="2" t="str">
        <f aca="false">Person_Data!A42</f>
        <v>AO17445</v>
      </c>
      <c r="B42" s="2" t="str">
        <f aca="false">Person_Data!C42</f>
        <v>Captain</v>
      </c>
      <c r="C42" s="5" t="n">
        <f aca="false">Person_Data!D42</f>
        <v>9.16</v>
      </c>
      <c r="D42" s="2" t="n">
        <f aca="false">INDEX(Rank_Rules!$B$2:$B$9,MATCH(B42,Rank_Rules!$A$2:$A$9,0))</f>
        <v>7</v>
      </c>
      <c r="E42" s="2" t="n">
        <f aca="false">INDEX(Rank_Rules!$C$2:$C$9,MATCH(B42,Rank_Rules!$A$2:$A$9,0))</f>
        <v>11</v>
      </c>
      <c r="F42" s="2" t="str">
        <f aca="false">IF(AND(C42&gt;=D42,C42&lt;=E42),"OK","MISMATCH")</f>
        <v>OK</v>
      </c>
      <c r="G42" s="6" t="n">
        <f aca="false">Person_Data!H42</f>
        <v>40.9</v>
      </c>
      <c r="H42" s="2" t="str">
        <f aca="false">IF(G42&gt;=65,"HIGH",IF(G42&gt;=50,"MEDIUM","LOW"))</f>
        <v>LOW</v>
      </c>
    </row>
    <row r="43" customFormat="false" ht="15" hidden="false" customHeight="false" outlineLevel="0" collapsed="false">
      <c r="A43" s="2" t="str">
        <f aca="false">Person_Data!A43</f>
        <v>AO22937</v>
      </c>
      <c r="B43" s="2" t="str">
        <f aca="false">Person_Data!C43</f>
        <v>Senior Lieutenant</v>
      </c>
      <c r="C43" s="5" t="n">
        <f aca="false">Person_Data!D43</f>
        <v>4</v>
      </c>
      <c r="D43" s="2" t="n">
        <f aca="false">INDEX(Rank_Rules!$B$2:$B$9,MATCH(B43,Rank_Rules!$A$2:$A$9,0))</f>
        <v>4</v>
      </c>
      <c r="E43" s="2" t="n">
        <f aca="false">INDEX(Rank_Rules!$C$2:$C$9,MATCH(B43,Rank_Rules!$A$2:$A$9,0))</f>
        <v>6</v>
      </c>
      <c r="F43" s="2" t="str">
        <f aca="false">IF(AND(C43&gt;=D43,C43&lt;=E43),"OK","MISMATCH")</f>
        <v>OK</v>
      </c>
      <c r="G43" s="6" t="n">
        <f aca="false">Person_Data!H43</f>
        <v>46</v>
      </c>
      <c r="H43" s="2" t="str">
        <f aca="false">IF(G43&gt;=65,"HIGH",IF(G43&gt;=50,"MEDIUM","LOW"))</f>
        <v>LOW</v>
      </c>
    </row>
    <row r="44" customFormat="false" ht="15" hidden="false" customHeight="false" outlineLevel="0" collapsed="false">
      <c r="A44" s="2" t="str">
        <f aca="false">Person_Data!A44</f>
        <v>AO23491</v>
      </c>
      <c r="B44" s="2" t="str">
        <f aca="false">Person_Data!C44</f>
        <v>Lieutenant</v>
      </c>
      <c r="C44" s="5" t="n">
        <f aca="false">Person_Data!D44</f>
        <v>2.86</v>
      </c>
      <c r="D44" s="2" t="n">
        <f aca="false">INDEX(Rank_Rules!$B$2:$B$9,MATCH(B44,Rank_Rules!$A$2:$A$9,0))</f>
        <v>1</v>
      </c>
      <c r="E44" s="2" t="n">
        <f aca="false">INDEX(Rank_Rules!$C$2:$C$9,MATCH(B44,Rank_Rules!$A$2:$A$9,0))</f>
        <v>3</v>
      </c>
      <c r="F44" s="2" t="str">
        <f aca="false">IF(AND(C44&gt;=D44,C44&lt;=E44),"OK","MISMATCH")</f>
        <v>OK</v>
      </c>
      <c r="G44" s="6" t="n">
        <f aca="false">Person_Data!H44</f>
        <v>46.3</v>
      </c>
      <c r="H44" s="2" t="str">
        <f aca="false">IF(G44&gt;=65,"HIGH",IF(G44&gt;=50,"MEDIUM","LOW"))</f>
        <v>LOW</v>
      </c>
    </row>
    <row r="45" customFormat="false" ht="15" hidden="false" customHeight="false" outlineLevel="0" collapsed="false">
      <c r="A45" s="2" t="str">
        <f aca="false">Person_Data!A45</f>
        <v>AO18742</v>
      </c>
      <c r="B45" s="2" t="str">
        <f aca="false">Person_Data!C45</f>
        <v>Captain</v>
      </c>
      <c r="C45" s="5" t="n">
        <f aca="false">Person_Data!D45</f>
        <v>8.23</v>
      </c>
      <c r="D45" s="2" t="n">
        <f aca="false">INDEX(Rank_Rules!$B$2:$B$9,MATCH(B45,Rank_Rules!$A$2:$A$9,0))</f>
        <v>7</v>
      </c>
      <c r="E45" s="2" t="n">
        <f aca="false">INDEX(Rank_Rules!$C$2:$C$9,MATCH(B45,Rank_Rules!$A$2:$A$9,0))</f>
        <v>11</v>
      </c>
      <c r="F45" s="2" t="str">
        <f aca="false">IF(AND(C45&gt;=D45,C45&lt;=E45),"OK","MISMATCH")</f>
        <v>OK</v>
      </c>
      <c r="G45" s="6" t="n">
        <f aca="false">Person_Data!H45</f>
        <v>36.4</v>
      </c>
      <c r="H45" s="2" t="str">
        <f aca="false">IF(G45&gt;=65,"HIGH",IF(G45&gt;=50,"MEDIUM","LOW"))</f>
        <v>LOW</v>
      </c>
    </row>
    <row r="46" customFormat="false" ht="15" hidden="false" customHeight="false" outlineLevel="0" collapsed="false">
      <c r="A46" s="2" t="str">
        <f aca="false">Person_Data!A46</f>
        <v>AO15635</v>
      </c>
      <c r="B46" s="2" t="str">
        <f aca="false">Person_Data!C46</f>
        <v>Captain</v>
      </c>
      <c r="C46" s="5" t="n">
        <f aca="false">Person_Data!D46</f>
        <v>10.79</v>
      </c>
      <c r="D46" s="2" t="n">
        <f aca="false">INDEX(Rank_Rules!$B$2:$B$9,MATCH(B46,Rank_Rules!$A$2:$A$9,0))</f>
        <v>7</v>
      </c>
      <c r="E46" s="2" t="n">
        <f aca="false">INDEX(Rank_Rules!$C$2:$C$9,MATCH(B46,Rank_Rules!$A$2:$A$9,0))</f>
        <v>11</v>
      </c>
      <c r="F46" s="2" t="str">
        <f aca="false">IF(AND(C46&gt;=D46,C46&lt;=E46),"OK","MISMATCH")</f>
        <v>OK</v>
      </c>
      <c r="G46" s="6" t="n">
        <f aca="false">Person_Data!H46</f>
        <v>77.6</v>
      </c>
      <c r="H46" s="2" t="str">
        <f aca="false">IF(G46&gt;=65,"HIGH",IF(G46&gt;=50,"MEDIUM","LOW"))</f>
        <v>HIGH</v>
      </c>
    </row>
    <row r="47" customFormat="false" ht="15" hidden="false" customHeight="false" outlineLevel="0" collapsed="false">
      <c r="A47" s="2" t="str">
        <f aca="false">Person_Data!A47</f>
        <v>G23402</v>
      </c>
      <c r="B47" s="2" t="str">
        <f aca="false">Person_Data!C47</f>
        <v>Warrant Officer</v>
      </c>
      <c r="C47" s="5" t="n">
        <f aca="false">Person_Data!D47</f>
        <v>3.14</v>
      </c>
      <c r="D47" s="2" t="n">
        <f aca="false">INDEX(Rank_Rules!$B$2:$B$9,MATCH(B47,Rank_Rules!$A$2:$A$9,0))</f>
        <v>3</v>
      </c>
      <c r="E47" s="2" t="n">
        <f aca="false">INDEX(Rank_Rules!$C$2:$C$9,MATCH(B47,Rank_Rules!$A$2:$A$9,0))</f>
        <v>5</v>
      </c>
      <c r="F47" s="2" t="str">
        <f aca="false">IF(AND(C47&gt;=D47,C47&lt;=E47),"OK","MISMATCH")</f>
        <v>OK</v>
      </c>
      <c r="G47" s="6" t="n">
        <f aca="false">Person_Data!H47</f>
        <v>46.3</v>
      </c>
      <c r="H47" s="2" t="str">
        <f aca="false">IF(G47&gt;=65,"HIGH",IF(G47&gt;=50,"MEDIUM","LOW"))</f>
        <v>LOW</v>
      </c>
    </row>
    <row r="48" customFormat="false" ht="15" hidden="false" customHeight="false" outlineLevel="0" collapsed="false">
      <c r="A48" s="2" t="str">
        <f aca="false">Person_Data!A48</f>
        <v>G19017</v>
      </c>
      <c r="B48" s="2" t="str">
        <f aca="false">Person_Data!C48</f>
        <v>Senior Warrant Officer</v>
      </c>
      <c r="C48" s="5" t="n">
        <f aca="false">Person_Data!D48</f>
        <v>6.93</v>
      </c>
      <c r="D48" s="2" t="n">
        <f aca="false">INDEX(Rank_Rules!$B$2:$B$9,MATCH(B48,Rank_Rules!$A$2:$A$9,0))</f>
        <v>5</v>
      </c>
      <c r="E48" s="2" t="n">
        <f aca="false">INDEX(Rank_Rules!$C$2:$C$9,MATCH(B48,Rank_Rules!$A$2:$A$9,0))</f>
        <v>20</v>
      </c>
      <c r="F48" s="2" t="str">
        <f aca="false">IF(AND(C48&gt;=D48,C48&lt;=E48),"OK","MISMATCH")</f>
        <v>OK</v>
      </c>
      <c r="G48" s="6" t="n">
        <f aca="false">Person_Data!H48</f>
        <v>50.2</v>
      </c>
      <c r="H48" s="2" t="str">
        <f aca="false">IF(G48&gt;=65,"HIGH",IF(G48&gt;=50,"MEDIUM","LOW"))</f>
        <v>MEDIUM</v>
      </c>
    </row>
    <row r="49" customFormat="false" ht="15" hidden="false" customHeight="false" outlineLevel="0" collapsed="false">
      <c r="A49" s="2" t="str">
        <f aca="false">Person_Data!A49</f>
        <v>G22746</v>
      </c>
      <c r="B49" s="2" t="str">
        <f aca="false">Person_Data!C49</f>
        <v>Warrant Officer</v>
      </c>
      <c r="C49" s="5" t="n">
        <f aca="false">Person_Data!D49</f>
        <v>3.53</v>
      </c>
      <c r="D49" s="2" t="n">
        <f aca="false">INDEX(Rank_Rules!$B$2:$B$9,MATCH(B49,Rank_Rules!$A$2:$A$9,0))</f>
        <v>3</v>
      </c>
      <c r="E49" s="2" t="n">
        <f aca="false">INDEX(Rank_Rules!$C$2:$C$9,MATCH(B49,Rank_Rules!$A$2:$A$9,0))</f>
        <v>5</v>
      </c>
      <c r="F49" s="2" t="str">
        <f aca="false">IF(AND(C49&gt;=D49,C49&lt;=E49),"OK","MISMATCH")</f>
        <v>OK</v>
      </c>
      <c r="G49" s="6" t="n">
        <f aca="false">Person_Data!H49</f>
        <v>49.4</v>
      </c>
      <c r="H49" s="2" t="str">
        <f aca="false">IF(G49&gt;=65,"HIGH",IF(G49&gt;=50,"MEDIUM","LOW"))</f>
        <v>LOW</v>
      </c>
    </row>
    <row r="50" customFormat="false" ht="15" hidden="false" customHeight="false" outlineLevel="0" collapsed="false">
      <c r="A50" s="2" t="str">
        <f aca="false">Person_Data!A50</f>
        <v>G23357</v>
      </c>
      <c r="B50" s="2" t="str">
        <f aca="false">Person_Data!C50</f>
        <v>Warrant Officer</v>
      </c>
      <c r="C50" s="5" t="n">
        <f aca="false">Person_Data!D50</f>
        <v>3.42</v>
      </c>
      <c r="D50" s="2" t="n">
        <f aca="false">INDEX(Rank_Rules!$B$2:$B$9,MATCH(B50,Rank_Rules!$A$2:$A$9,0))</f>
        <v>3</v>
      </c>
      <c r="E50" s="2" t="n">
        <f aca="false">INDEX(Rank_Rules!$C$2:$C$9,MATCH(B50,Rank_Rules!$A$2:$A$9,0))</f>
        <v>5</v>
      </c>
      <c r="F50" s="2" t="str">
        <f aca="false">IF(AND(C50&gt;=D50,C50&lt;=E50),"OK","MISMATCH")</f>
        <v>OK</v>
      </c>
      <c r="G50" s="6" t="n">
        <f aca="false">Person_Data!H50</f>
        <v>52.9</v>
      </c>
      <c r="H50" s="2" t="str">
        <f aca="false">IF(G50&gt;=65,"HIGH",IF(G50&gt;=50,"MEDIUM","LOW"))</f>
        <v>MEDIUM</v>
      </c>
    </row>
    <row r="51" customFormat="false" ht="15" hidden="false" customHeight="false" outlineLevel="0" collapsed="false">
      <c r="A51" s="2" t="str">
        <f aca="false">Person_Data!A51</f>
        <v>G18673</v>
      </c>
      <c r="B51" s="2" t="str">
        <f aca="false">Person_Data!C51</f>
        <v>Senior Warrant Officer</v>
      </c>
      <c r="C51" s="5" t="n">
        <f aca="false">Person_Data!D51</f>
        <v>8.02</v>
      </c>
      <c r="D51" s="2" t="n">
        <f aca="false">INDEX(Rank_Rules!$B$2:$B$9,MATCH(B51,Rank_Rules!$A$2:$A$9,0))</f>
        <v>5</v>
      </c>
      <c r="E51" s="2" t="n">
        <f aca="false">INDEX(Rank_Rules!$C$2:$C$9,MATCH(B51,Rank_Rules!$A$2:$A$9,0))</f>
        <v>20</v>
      </c>
      <c r="F51" s="2" t="str">
        <f aca="false">IF(AND(C51&gt;=D51,C51&lt;=E51),"OK","MISMATCH")</f>
        <v>OK</v>
      </c>
      <c r="G51" s="6" t="n">
        <f aca="false">Person_Data!H51</f>
        <v>62.6</v>
      </c>
      <c r="H51" s="2" t="str">
        <f aca="false">IF(G51&gt;=65,"HIGH",IF(G51&gt;=50,"MEDIUM","LOW"))</f>
        <v>MEDIUM</v>
      </c>
    </row>
    <row r="52" customFormat="false" ht="15" hidden="false" customHeight="false" outlineLevel="0" collapsed="false">
      <c r="A52" s="2" t="str">
        <f aca="false">Person_Data!A52</f>
        <v>G11740</v>
      </c>
      <c r="B52" s="2" t="str">
        <f aca="false">Person_Data!C52</f>
        <v>Senior Warrant Officer</v>
      </c>
      <c r="C52" s="5" t="n">
        <f aca="false">Person_Data!D52</f>
        <v>14.75</v>
      </c>
      <c r="D52" s="2" t="n">
        <f aca="false">INDEX(Rank_Rules!$B$2:$B$9,MATCH(B52,Rank_Rules!$A$2:$A$9,0))</f>
        <v>5</v>
      </c>
      <c r="E52" s="2" t="n">
        <f aca="false">INDEX(Rank_Rules!$C$2:$C$9,MATCH(B52,Rank_Rules!$A$2:$A$9,0))</f>
        <v>20</v>
      </c>
      <c r="F52" s="2" t="str">
        <f aca="false">IF(AND(C52&gt;=D52,C52&lt;=E52),"OK","MISMATCH")</f>
        <v>OK</v>
      </c>
      <c r="G52" s="6" t="n">
        <f aca="false">Person_Data!H52</f>
        <v>42.2</v>
      </c>
      <c r="H52" s="2" t="str">
        <f aca="false">IF(G52&gt;=65,"HIGH",IF(G52&gt;=50,"MEDIUM","LOW"))</f>
        <v>LOW</v>
      </c>
    </row>
    <row r="53" customFormat="false" ht="15" hidden="false" customHeight="false" outlineLevel="0" collapsed="false">
      <c r="A53" s="2" t="str">
        <f aca="false">Person_Data!A53</f>
        <v>G23944</v>
      </c>
      <c r="B53" s="2" t="str">
        <f aca="false">Person_Data!C53</f>
        <v>Warrant Officer</v>
      </c>
      <c r="C53" s="5" t="n">
        <f aca="false">Person_Data!D53</f>
        <v>3.24</v>
      </c>
      <c r="D53" s="2" t="n">
        <f aca="false">INDEX(Rank_Rules!$B$2:$B$9,MATCH(B53,Rank_Rules!$A$2:$A$9,0))</f>
        <v>3</v>
      </c>
      <c r="E53" s="2" t="n">
        <f aca="false">INDEX(Rank_Rules!$C$2:$C$9,MATCH(B53,Rank_Rules!$A$2:$A$9,0))</f>
        <v>5</v>
      </c>
      <c r="F53" s="2" t="str">
        <f aca="false">IF(AND(C53&gt;=D53,C53&lt;=E53),"OK","MISMATCH")</f>
        <v>OK</v>
      </c>
      <c r="G53" s="6" t="n">
        <f aca="false">Person_Data!H53</f>
        <v>58.5</v>
      </c>
      <c r="H53" s="2" t="str">
        <f aca="false">IF(G53&gt;=65,"HIGH",IF(G53&gt;=50,"MEDIUM","LOW"))</f>
        <v>MEDIUM</v>
      </c>
    </row>
    <row r="54" customFormat="false" ht="15" hidden="false" customHeight="false" outlineLevel="0" collapsed="false">
      <c r="A54" s="2" t="str">
        <f aca="false">Person_Data!A54</f>
        <v>G22677</v>
      </c>
      <c r="B54" s="2" t="str">
        <f aca="false">Person_Data!C54</f>
        <v>Warrant Officer</v>
      </c>
      <c r="C54" s="5" t="n">
        <f aca="false">Person_Data!D54</f>
        <v>4.18</v>
      </c>
      <c r="D54" s="2" t="n">
        <f aca="false">INDEX(Rank_Rules!$B$2:$B$9,MATCH(B54,Rank_Rules!$A$2:$A$9,0))</f>
        <v>3</v>
      </c>
      <c r="E54" s="2" t="n">
        <f aca="false">INDEX(Rank_Rules!$C$2:$C$9,MATCH(B54,Rank_Rules!$A$2:$A$9,0))</f>
        <v>5</v>
      </c>
      <c r="F54" s="2" t="str">
        <f aca="false">IF(AND(C54&gt;=D54,C54&lt;=E54),"OK","MISMATCH")</f>
        <v>OK</v>
      </c>
      <c r="G54" s="6" t="n">
        <f aca="false">Person_Data!H54</f>
        <v>54.6</v>
      </c>
      <c r="H54" s="2" t="str">
        <f aca="false">IF(G54&gt;=65,"HIGH",IF(G54&gt;=50,"MEDIUM","LOW"))</f>
        <v>MEDIUM</v>
      </c>
    </row>
    <row r="55" customFormat="false" ht="15" hidden="false" customHeight="false" outlineLevel="0" collapsed="false">
      <c r="A55" s="2" t="str">
        <f aca="false">Person_Data!A55</f>
        <v>G25596</v>
      </c>
      <c r="B55" s="2" t="str">
        <f aca="false">Person_Data!C55</f>
        <v>Junior Warrant Officer</v>
      </c>
      <c r="C55" s="5" t="n">
        <f aca="false">Person_Data!D55</f>
        <v>1.14</v>
      </c>
      <c r="D55" s="2" t="n">
        <f aca="false">INDEX(Rank_Rules!$B$2:$B$9,MATCH(B55,Rank_Rules!$A$2:$A$9,0))</f>
        <v>1</v>
      </c>
      <c r="E55" s="2" t="n">
        <f aca="false">INDEX(Rank_Rules!$C$2:$C$9,MATCH(B55,Rank_Rules!$A$2:$A$9,0))</f>
        <v>3</v>
      </c>
      <c r="F55" s="2" t="str">
        <f aca="false">IF(AND(C55&gt;=D55,C55&lt;=E55),"OK","MISMATCH")</f>
        <v>OK</v>
      </c>
      <c r="G55" s="6" t="n">
        <f aca="false">Person_Data!H55</f>
        <v>72.7</v>
      </c>
      <c r="H55" s="2" t="str">
        <f aca="false">IF(G55&gt;=65,"HIGH",IF(G55&gt;=50,"MEDIUM","LOW"))</f>
        <v>HIGH</v>
      </c>
    </row>
    <row r="56" customFormat="false" ht="15" hidden="false" customHeight="false" outlineLevel="0" collapsed="false">
      <c r="A56" s="2" t="str">
        <f aca="false">Person_Data!A56</f>
        <v>G23288</v>
      </c>
      <c r="B56" s="2" t="str">
        <f aca="false">Person_Data!C56</f>
        <v>Junior Warrant Officer</v>
      </c>
      <c r="C56" s="5" t="n">
        <f aca="false">Person_Data!D56</f>
        <v>2.81</v>
      </c>
      <c r="D56" s="2" t="n">
        <f aca="false">INDEX(Rank_Rules!$B$2:$B$9,MATCH(B56,Rank_Rules!$A$2:$A$9,0))</f>
        <v>1</v>
      </c>
      <c r="E56" s="2" t="n">
        <f aca="false">INDEX(Rank_Rules!$C$2:$C$9,MATCH(B56,Rank_Rules!$A$2:$A$9,0))</f>
        <v>3</v>
      </c>
      <c r="F56" s="2" t="str">
        <f aca="false">IF(AND(C56&gt;=D56,C56&lt;=E56),"OK","MISMATCH")</f>
        <v>OK</v>
      </c>
      <c r="G56" s="6" t="n">
        <f aca="false">Person_Data!H56</f>
        <v>61.8</v>
      </c>
      <c r="H56" s="2" t="str">
        <f aca="false">IF(G56&gt;=65,"HIGH",IF(G56&gt;=50,"MEDIUM","LOW"))</f>
        <v>MEDIUM</v>
      </c>
    </row>
    <row r="57" customFormat="false" ht="15" hidden="false" customHeight="false" outlineLevel="0" collapsed="false">
      <c r="A57" s="2" t="str">
        <f aca="false">Person_Data!A57</f>
        <v>G25878</v>
      </c>
      <c r="B57" s="2" t="str">
        <f aca="false">Person_Data!C57</f>
        <v>Junior Warrant Officer</v>
      </c>
      <c r="C57" s="5" t="n">
        <f aca="false">Person_Data!D57</f>
        <v>1.48</v>
      </c>
      <c r="D57" s="2" t="n">
        <f aca="false">INDEX(Rank_Rules!$B$2:$B$9,MATCH(B57,Rank_Rules!$A$2:$A$9,0))</f>
        <v>1</v>
      </c>
      <c r="E57" s="2" t="n">
        <f aca="false">INDEX(Rank_Rules!$C$2:$C$9,MATCH(B57,Rank_Rules!$A$2:$A$9,0))</f>
        <v>3</v>
      </c>
      <c r="F57" s="2" t="str">
        <f aca="false">IF(AND(C57&gt;=D57,C57&lt;=E57),"OK","MISMATCH")</f>
        <v>OK</v>
      </c>
      <c r="G57" s="6" t="n">
        <f aca="false">Person_Data!H57</f>
        <v>51.9</v>
      </c>
      <c r="H57" s="2" t="str">
        <f aca="false">IF(G57&gt;=65,"HIGH",IF(G57&gt;=50,"MEDIUM","LOW"))</f>
        <v>MEDIUM</v>
      </c>
    </row>
    <row r="58" customFormat="false" ht="15" hidden="false" customHeight="false" outlineLevel="0" collapsed="false">
      <c r="A58" s="2" t="str">
        <f aca="false">Person_Data!A58</f>
        <v>G25956</v>
      </c>
      <c r="B58" s="2" t="str">
        <f aca="false">Person_Data!C58</f>
        <v>Junior Warrant Officer</v>
      </c>
      <c r="C58" s="5" t="n">
        <f aca="false">Person_Data!D58</f>
        <v>1.26</v>
      </c>
      <c r="D58" s="2" t="n">
        <f aca="false">INDEX(Rank_Rules!$B$2:$B$9,MATCH(B58,Rank_Rules!$A$2:$A$9,0))</f>
        <v>1</v>
      </c>
      <c r="E58" s="2" t="n">
        <f aca="false">INDEX(Rank_Rules!$C$2:$C$9,MATCH(B58,Rank_Rules!$A$2:$A$9,0))</f>
        <v>3</v>
      </c>
      <c r="F58" s="2" t="str">
        <f aca="false">IF(AND(C58&gt;=D58,C58&lt;=E58),"OK","MISMATCH")</f>
        <v>OK</v>
      </c>
      <c r="G58" s="6" t="n">
        <f aca="false">Person_Data!H58</f>
        <v>60.1</v>
      </c>
      <c r="H58" s="2" t="str">
        <f aca="false">IF(G58&gt;=65,"HIGH",IF(G58&gt;=50,"MEDIUM","LOW"))</f>
        <v>MEDIUM</v>
      </c>
    </row>
    <row r="59" customFormat="false" ht="15" hidden="false" customHeight="false" outlineLevel="0" collapsed="false">
      <c r="A59" s="2" t="str">
        <f aca="false">Person_Data!A59</f>
        <v>G22091</v>
      </c>
      <c r="B59" s="2" t="str">
        <f aca="false">Person_Data!C59</f>
        <v>Warrant Officer</v>
      </c>
      <c r="C59" s="5" t="n">
        <f aca="false">Person_Data!D59</f>
        <v>3.95</v>
      </c>
      <c r="D59" s="2" t="n">
        <f aca="false">INDEX(Rank_Rules!$B$2:$B$9,MATCH(B59,Rank_Rules!$A$2:$A$9,0))</f>
        <v>3</v>
      </c>
      <c r="E59" s="2" t="n">
        <f aca="false">INDEX(Rank_Rules!$C$2:$C$9,MATCH(B59,Rank_Rules!$A$2:$A$9,0))</f>
        <v>5</v>
      </c>
      <c r="F59" s="2" t="str">
        <f aca="false">IF(AND(C59&gt;=D59,C59&lt;=E59),"OK","MISMATCH")</f>
        <v>OK</v>
      </c>
      <c r="G59" s="6" t="n">
        <f aca="false">Person_Data!H59</f>
        <v>55.7</v>
      </c>
      <c r="H59" s="2" t="str">
        <f aca="false">IF(G59&gt;=65,"HIGH",IF(G59&gt;=50,"MEDIUM","LOW"))</f>
        <v>MEDIUM</v>
      </c>
    </row>
    <row r="60" customFormat="false" ht="15" hidden="false" customHeight="false" outlineLevel="0" collapsed="false">
      <c r="A60" s="2" t="str">
        <f aca="false">Person_Data!A60</f>
        <v>G18716</v>
      </c>
      <c r="B60" s="2" t="str">
        <f aca="false">Person_Data!C60</f>
        <v>Senior Warrant Officer</v>
      </c>
      <c r="C60" s="5" t="n">
        <f aca="false">Person_Data!D60</f>
        <v>7.86</v>
      </c>
      <c r="D60" s="2" t="n">
        <f aca="false">INDEX(Rank_Rules!$B$2:$B$9,MATCH(B60,Rank_Rules!$A$2:$A$9,0))</f>
        <v>5</v>
      </c>
      <c r="E60" s="2" t="n">
        <f aca="false">INDEX(Rank_Rules!$C$2:$C$9,MATCH(B60,Rank_Rules!$A$2:$A$9,0))</f>
        <v>20</v>
      </c>
      <c r="F60" s="2" t="str">
        <f aca="false">IF(AND(C60&gt;=D60,C60&lt;=E60),"OK","MISMATCH")</f>
        <v>OK</v>
      </c>
      <c r="G60" s="6" t="n">
        <f aca="false">Person_Data!H60</f>
        <v>66.1</v>
      </c>
      <c r="H60" s="2" t="str">
        <f aca="false">IF(G60&gt;=65,"HIGH",IF(G60&gt;=50,"MEDIUM","LOW"))</f>
        <v>HIGH</v>
      </c>
    </row>
    <row r="61" customFormat="false" ht="15" hidden="false" customHeight="false" outlineLevel="0" collapsed="false">
      <c r="A61" s="2" t="str">
        <f aca="false">Person_Data!A61</f>
        <v>G22153</v>
      </c>
      <c r="B61" s="2" t="str">
        <f aca="false">Person_Data!C61</f>
        <v>Warrant Officer</v>
      </c>
      <c r="C61" s="5" t="n">
        <f aca="false">Person_Data!D61</f>
        <v>3.85</v>
      </c>
      <c r="D61" s="2" t="n">
        <f aca="false">INDEX(Rank_Rules!$B$2:$B$9,MATCH(B61,Rank_Rules!$A$2:$A$9,0))</f>
        <v>3</v>
      </c>
      <c r="E61" s="2" t="n">
        <f aca="false">INDEX(Rank_Rules!$C$2:$C$9,MATCH(B61,Rank_Rules!$A$2:$A$9,0))</f>
        <v>5</v>
      </c>
      <c r="F61" s="2" t="str">
        <f aca="false">IF(AND(C61&gt;=D61,C61&lt;=E61),"OK","MISMATCH")</f>
        <v>OK</v>
      </c>
      <c r="G61" s="6" t="n">
        <f aca="false">Person_Data!H61</f>
        <v>54.9</v>
      </c>
      <c r="H61" s="2" t="str">
        <f aca="false">IF(G61&gt;=65,"HIGH",IF(G61&gt;=50,"MEDIUM","LOW"))</f>
        <v>MEDIUM</v>
      </c>
    </row>
    <row r="62" customFormat="false" ht="15" hidden="false" customHeight="false" outlineLevel="0" collapsed="false">
      <c r="A62" s="2" t="str">
        <f aca="false">Person_Data!A62</f>
        <v>G11488</v>
      </c>
      <c r="B62" s="2" t="str">
        <f aca="false">Person_Data!C62</f>
        <v>Senior Warrant Officer</v>
      </c>
      <c r="C62" s="5" t="n">
        <f aca="false">Person_Data!D62</f>
        <v>15.1</v>
      </c>
      <c r="D62" s="2" t="n">
        <f aca="false">INDEX(Rank_Rules!$B$2:$B$9,MATCH(B62,Rank_Rules!$A$2:$A$9,0))</f>
        <v>5</v>
      </c>
      <c r="E62" s="2" t="n">
        <f aca="false">INDEX(Rank_Rules!$C$2:$C$9,MATCH(B62,Rank_Rules!$A$2:$A$9,0))</f>
        <v>20</v>
      </c>
      <c r="F62" s="2" t="str">
        <f aca="false">IF(AND(C62&gt;=D62,C62&lt;=E62),"OK","MISMATCH")</f>
        <v>OK</v>
      </c>
      <c r="G62" s="6" t="n">
        <f aca="false">Person_Data!H62</f>
        <v>55</v>
      </c>
      <c r="H62" s="2" t="str">
        <f aca="false">IF(G62&gt;=65,"HIGH",IF(G62&gt;=50,"MEDIUM","LOW"))</f>
        <v>MEDIUM</v>
      </c>
    </row>
    <row r="63" customFormat="false" ht="15" hidden="false" customHeight="false" outlineLevel="0" collapsed="false">
      <c r="A63" s="2" t="str">
        <f aca="false">Person_Data!A63</f>
        <v>G24197</v>
      </c>
      <c r="B63" s="2" t="str">
        <f aca="false">Person_Data!C63</f>
        <v>Junior Warrant Officer</v>
      </c>
      <c r="C63" s="5" t="n">
        <f aca="false">Person_Data!D63</f>
        <v>1.81</v>
      </c>
      <c r="D63" s="2" t="n">
        <f aca="false">INDEX(Rank_Rules!$B$2:$B$9,MATCH(B63,Rank_Rules!$A$2:$A$9,0))</f>
        <v>1</v>
      </c>
      <c r="E63" s="2" t="n">
        <f aca="false">INDEX(Rank_Rules!$C$2:$C$9,MATCH(B63,Rank_Rules!$A$2:$A$9,0))</f>
        <v>3</v>
      </c>
      <c r="F63" s="2" t="str">
        <f aca="false">IF(AND(C63&gt;=D63,C63&lt;=E63),"OK","MISMATCH")</f>
        <v>OK</v>
      </c>
      <c r="G63" s="6" t="n">
        <f aca="false">Person_Data!H63</f>
        <v>36</v>
      </c>
      <c r="H63" s="2" t="str">
        <f aca="false">IF(G63&gt;=65,"HIGH",IF(G63&gt;=50,"MEDIUM","LOW"))</f>
        <v>LOW</v>
      </c>
    </row>
    <row r="64" customFormat="false" ht="15" hidden="false" customHeight="false" outlineLevel="0" collapsed="false">
      <c r="A64" s="2" t="str">
        <f aca="false">Person_Data!A64</f>
        <v>G17139</v>
      </c>
      <c r="B64" s="2" t="str">
        <f aca="false">Person_Data!C64</f>
        <v>Senior Warrant Officer</v>
      </c>
      <c r="C64" s="5" t="n">
        <f aca="false">Person_Data!D64</f>
        <v>8.73</v>
      </c>
      <c r="D64" s="2" t="n">
        <f aca="false">INDEX(Rank_Rules!$B$2:$B$9,MATCH(B64,Rank_Rules!$A$2:$A$9,0))</f>
        <v>5</v>
      </c>
      <c r="E64" s="2" t="n">
        <f aca="false">INDEX(Rank_Rules!$C$2:$C$9,MATCH(B64,Rank_Rules!$A$2:$A$9,0))</f>
        <v>20</v>
      </c>
      <c r="F64" s="2" t="str">
        <f aca="false">IF(AND(C64&gt;=D64,C64&lt;=E64),"OK","MISMATCH")</f>
        <v>OK</v>
      </c>
      <c r="G64" s="6" t="n">
        <f aca="false">Person_Data!H64</f>
        <v>58.2</v>
      </c>
      <c r="H64" s="2" t="str">
        <f aca="false">IF(G64&gt;=65,"HIGH",IF(G64&gt;=50,"MEDIUM","LOW"))</f>
        <v>MEDIUM</v>
      </c>
    </row>
    <row r="65" customFormat="false" ht="15" hidden="false" customHeight="false" outlineLevel="0" collapsed="false">
      <c r="A65" s="2" t="str">
        <f aca="false">Person_Data!A65</f>
        <v>G22314</v>
      </c>
      <c r="B65" s="2" t="str">
        <f aca="false">Person_Data!C65</f>
        <v>Warrant Officer</v>
      </c>
      <c r="C65" s="5" t="n">
        <f aca="false">Person_Data!D65</f>
        <v>3.84</v>
      </c>
      <c r="D65" s="2" t="n">
        <f aca="false">INDEX(Rank_Rules!$B$2:$B$9,MATCH(B65,Rank_Rules!$A$2:$A$9,0))</f>
        <v>3</v>
      </c>
      <c r="E65" s="2" t="n">
        <f aca="false">INDEX(Rank_Rules!$C$2:$C$9,MATCH(B65,Rank_Rules!$A$2:$A$9,0))</f>
        <v>5</v>
      </c>
      <c r="F65" s="2" t="str">
        <f aca="false">IF(AND(C65&gt;=D65,C65&lt;=E65),"OK","MISMATCH")</f>
        <v>OK</v>
      </c>
      <c r="G65" s="6" t="n">
        <f aca="false">Person_Data!H65</f>
        <v>51</v>
      </c>
      <c r="H65" s="2" t="str">
        <f aca="false">IF(G65&gt;=65,"HIGH",IF(G65&gt;=50,"MEDIUM","LOW"))</f>
        <v>MEDIUM</v>
      </c>
    </row>
    <row r="66" customFormat="false" ht="15" hidden="false" customHeight="false" outlineLevel="0" collapsed="false">
      <c r="A66" s="2" t="str">
        <f aca="false">Person_Data!A66</f>
        <v>G23423</v>
      </c>
      <c r="B66" s="2" t="str">
        <f aca="false">Person_Data!C66</f>
        <v>Junior Warrant Officer</v>
      </c>
      <c r="C66" s="5" t="n">
        <f aca="false">Person_Data!D66</f>
        <v>2.85</v>
      </c>
      <c r="D66" s="2" t="n">
        <f aca="false">INDEX(Rank_Rules!$B$2:$B$9,MATCH(B66,Rank_Rules!$A$2:$A$9,0))</f>
        <v>1</v>
      </c>
      <c r="E66" s="2" t="n">
        <f aca="false">INDEX(Rank_Rules!$C$2:$C$9,MATCH(B66,Rank_Rules!$A$2:$A$9,0))</f>
        <v>3</v>
      </c>
      <c r="F66" s="2" t="str">
        <f aca="false">IF(AND(C66&gt;=D66,C66&lt;=E66),"OK","MISMATCH")</f>
        <v>OK</v>
      </c>
      <c r="G66" s="6" t="n">
        <f aca="false">Person_Data!H66</f>
        <v>51.2</v>
      </c>
      <c r="H66" s="2" t="str">
        <f aca="false">IF(G66&gt;=65,"HIGH",IF(G66&gt;=50,"MEDIUM","LOW"))</f>
        <v>MEDIUM</v>
      </c>
    </row>
    <row r="67" customFormat="false" ht="15" hidden="false" customHeight="false" outlineLevel="0" collapsed="false">
      <c r="A67" s="2" t="str">
        <f aca="false">Person_Data!A67</f>
        <v>G13885</v>
      </c>
      <c r="B67" s="2" t="str">
        <f aca="false">Person_Data!C67</f>
        <v>Senior Warrant Officer</v>
      </c>
      <c r="C67" s="5" t="n">
        <f aca="false">Person_Data!D67</f>
        <v>13.25</v>
      </c>
      <c r="D67" s="2" t="n">
        <f aca="false">INDEX(Rank_Rules!$B$2:$B$9,MATCH(B67,Rank_Rules!$A$2:$A$9,0))</f>
        <v>5</v>
      </c>
      <c r="E67" s="2" t="n">
        <f aca="false">INDEX(Rank_Rules!$C$2:$C$9,MATCH(B67,Rank_Rules!$A$2:$A$9,0))</f>
        <v>20</v>
      </c>
      <c r="F67" s="2" t="str">
        <f aca="false">IF(AND(C67&gt;=D67,C67&lt;=E67),"OK","MISMATCH")</f>
        <v>OK</v>
      </c>
      <c r="G67" s="6" t="n">
        <f aca="false">Person_Data!H67</f>
        <v>57.4</v>
      </c>
      <c r="H67" s="2" t="str">
        <f aca="false">IF(G67&gt;=65,"HIGH",IF(G67&gt;=50,"MEDIUM","LOW"))</f>
        <v>MEDIUM</v>
      </c>
    </row>
    <row r="68" customFormat="false" ht="15" hidden="false" customHeight="false" outlineLevel="0" collapsed="false">
      <c r="A68" s="2" t="str">
        <f aca="false">Person_Data!A68</f>
        <v>G08643</v>
      </c>
      <c r="B68" s="2" t="str">
        <f aca="false">Person_Data!C68</f>
        <v>Senior Warrant Officer</v>
      </c>
      <c r="C68" s="5" t="n">
        <f aca="false">Person_Data!D68</f>
        <v>17.54</v>
      </c>
      <c r="D68" s="2" t="n">
        <f aca="false">INDEX(Rank_Rules!$B$2:$B$9,MATCH(B68,Rank_Rules!$A$2:$A$9,0))</f>
        <v>5</v>
      </c>
      <c r="E68" s="2" t="n">
        <f aca="false">INDEX(Rank_Rules!$C$2:$C$9,MATCH(B68,Rank_Rules!$A$2:$A$9,0))</f>
        <v>20</v>
      </c>
      <c r="F68" s="2" t="str">
        <f aca="false">IF(AND(C68&gt;=D68,C68&lt;=E68),"OK","MISMATCH")</f>
        <v>OK</v>
      </c>
      <c r="G68" s="6" t="n">
        <f aca="false">Person_Data!H68</f>
        <v>57.4</v>
      </c>
      <c r="H68" s="2" t="str">
        <f aca="false">IF(G68&gt;=65,"HIGH",IF(G68&gt;=50,"MEDIUM","LOW"))</f>
        <v>MEDIUM</v>
      </c>
    </row>
    <row r="69" customFormat="false" ht="15" hidden="false" customHeight="false" outlineLevel="0" collapsed="false">
      <c r="A69" s="2" t="str">
        <f aca="false">Person_Data!A69</f>
        <v>G08693</v>
      </c>
      <c r="B69" s="2" t="str">
        <f aca="false">Person_Data!C69</f>
        <v>Senior Warrant Officer</v>
      </c>
      <c r="C69" s="5" t="n">
        <f aca="false">Person_Data!D69</f>
        <v>17.73</v>
      </c>
      <c r="D69" s="2" t="n">
        <f aca="false">INDEX(Rank_Rules!$B$2:$B$9,MATCH(B69,Rank_Rules!$A$2:$A$9,0))</f>
        <v>5</v>
      </c>
      <c r="E69" s="2" t="n">
        <f aca="false">INDEX(Rank_Rules!$C$2:$C$9,MATCH(B69,Rank_Rules!$A$2:$A$9,0))</f>
        <v>20</v>
      </c>
      <c r="F69" s="2" t="str">
        <f aca="false">IF(AND(C69&gt;=D69,C69&lt;=E69),"OK","MISMATCH")</f>
        <v>OK</v>
      </c>
      <c r="G69" s="6" t="n">
        <f aca="false">Person_Data!H69</f>
        <v>57.4</v>
      </c>
      <c r="H69" s="2" t="str">
        <f aca="false">IF(G69&gt;=65,"HIGH",IF(G69&gt;=50,"MEDIUM","LOW"))</f>
        <v>MEDIUM</v>
      </c>
    </row>
    <row r="70" customFormat="false" ht="15" hidden="false" customHeight="false" outlineLevel="0" collapsed="false">
      <c r="A70" s="2" t="str">
        <f aca="false">Person_Data!A70</f>
        <v>G23673</v>
      </c>
      <c r="B70" s="2" t="str">
        <f aca="false">Person_Data!C70</f>
        <v>Warrant Officer</v>
      </c>
      <c r="C70" s="5" t="n">
        <f aca="false">Person_Data!D70</f>
        <v>3.43</v>
      </c>
      <c r="D70" s="2" t="n">
        <f aca="false">INDEX(Rank_Rules!$B$2:$B$9,MATCH(B70,Rank_Rules!$A$2:$A$9,0))</f>
        <v>3</v>
      </c>
      <c r="E70" s="2" t="n">
        <f aca="false">INDEX(Rank_Rules!$C$2:$C$9,MATCH(B70,Rank_Rules!$A$2:$A$9,0))</f>
        <v>5</v>
      </c>
      <c r="F70" s="2" t="str">
        <f aca="false">IF(AND(C70&gt;=D70,C70&lt;=E70),"OK","MISMATCH")</f>
        <v>OK</v>
      </c>
      <c r="G70" s="6" t="n">
        <f aca="false">Person_Data!H70</f>
        <v>48.1</v>
      </c>
      <c r="H70" s="2" t="str">
        <f aca="false">IF(G70&gt;=65,"HIGH",IF(G70&gt;=50,"MEDIUM","LOW"))</f>
        <v>LOW</v>
      </c>
    </row>
    <row r="71" customFormat="false" ht="15" hidden="false" customHeight="false" outlineLevel="0" collapsed="false">
      <c r="A71" s="2" t="str">
        <f aca="false">Person_Data!A71</f>
        <v>G24293</v>
      </c>
      <c r="B71" s="2" t="str">
        <f aca="false">Person_Data!C71</f>
        <v>Junior Warrant Officer</v>
      </c>
      <c r="C71" s="5" t="n">
        <f aca="false">Person_Data!D71</f>
        <v>1.76</v>
      </c>
      <c r="D71" s="2" t="n">
        <f aca="false">INDEX(Rank_Rules!$B$2:$B$9,MATCH(B71,Rank_Rules!$A$2:$A$9,0))</f>
        <v>1</v>
      </c>
      <c r="E71" s="2" t="n">
        <f aca="false">INDEX(Rank_Rules!$C$2:$C$9,MATCH(B71,Rank_Rules!$A$2:$A$9,0))</f>
        <v>3</v>
      </c>
      <c r="F71" s="2" t="str">
        <f aca="false">IF(AND(C71&gt;=D71,C71&lt;=E71),"OK","MISMATCH")</f>
        <v>OK</v>
      </c>
      <c r="G71" s="6" t="n">
        <f aca="false">Person_Data!H71</f>
        <v>57.4</v>
      </c>
      <c r="H71" s="2" t="str">
        <f aca="false">IF(G71&gt;=65,"HIGH",IF(G71&gt;=50,"MEDIUM","LOW"))</f>
        <v>MEDIUM</v>
      </c>
    </row>
    <row r="72" customFormat="false" ht="15" hidden="false" customHeight="false" outlineLevel="0" collapsed="false">
      <c r="A72" s="2" t="str">
        <f aca="false">Person_Data!A72</f>
        <v>G23445</v>
      </c>
      <c r="B72" s="2" t="str">
        <f aca="false">Person_Data!C72</f>
        <v>Junior Warrant Officer</v>
      </c>
      <c r="C72" s="5" t="n">
        <f aca="false">Person_Data!D72</f>
        <v>2.57</v>
      </c>
      <c r="D72" s="2" t="n">
        <f aca="false">INDEX(Rank_Rules!$B$2:$B$9,MATCH(B72,Rank_Rules!$A$2:$A$9,0))</f>
        <v>1</v>
      </c>
      <c r="E72" s="2" t="n">
        <f aca="false">INDEX(Rank_Rules!$C$2:$C$9,MATCH(B72,Rank_Rules!$A$2:$A$9,0))</f>
        <v>3</v>
      </c>
      <c r="F72" s="2" t="str">
        <f aca="false">IF(AND(C72&gt;=D72,C72&lt;=E72),"OK","MISMATCH")</f>
        <v>OK</v>
      </c>
      <c r="G72" s="6" t="n">
        <f aca="false">Person_Data!H72</f>
        <v>48.1</v>
      </c>
      <c r="H72" s="2" t="str">
        <f aca="false">IF(G72&gt;=65,"HIGH",IF(G72&gt;=50,"MEDIUM","LOW"))</f>
        <v>LOW</v>
      </c>
    </row>
    <row r="73" customFormat="false" ht="15" hidden="false" customHeight="false" outlineLevel="0" collapsed="false">
      <c r="A73" s="2" t="str">
        <f aca="false">Person_Data!A73</f>
        <v>G21944</v>
      </c>
      <c r="B73" s="2" t="str">
        <f aca="false">Person_Data!C73</f>
        <v>Warrant Officer</v>
      </c>
      <c r="C73" s="5" t="n">
        <f aca="false">Person_Data!D73</f>
        <v>4.91</v>
      </c>
      <c r="D73" s="2" t="n">
        <f aca="false">INDEX(Rank_Rules!$B$2:$B$9,MATCH(B73,Rank_Rules!$A$2:$A$9,0))</f>
        <v>3</v>
      </c>
      <c r="E73" s="2" t="n">
        <f aca="false">INDEX(Rank_Rules!$C$2:$C$9,MATCH(B73,Rank_Rules!$A$2:$A$9,0))</f>
        <v>5</v>
      </c>
      <c r="F73" s="2" t="str">
        <f aca="false">IF(AND(C73&gt;=D73,C73&lt;=E73),"OK","MISMATCH")</f>
        <v>OK</v>
      </c>
      <c r="G73" s="6" t="n">
        <f aca="false">Person_Data!H73</f>
        <v>48.1</v>
      </c>
      <c r="H73" s="2" t="str">
        <f aca="false">IF(G73&gt;=65,"HIGH",IF(G73&gt;=50,"MEDIUM","LOW"))</f>
        <v>LOW</v>
      </c>
    </row>
    <row r="74" customFormat="false" ht="15" hidden="false" customHeight="false" outlineLevel="0" collapsed="false">
      <c r="A74" s="2" t="str">
        <f aca="false">Person_Data!A74</f>
        <v>G22075</v>
      </c>
      <c r="B74" s="2" t="str">
        <f aca="false">Person_Data!C74</f>
        <v>Warrant Officer</v>
      </c>
      <c r="C74" s="5" t="n">
        <f aca="false">Person_Data!D74</f>
        <v>4.44</v>
      </c>
      <c r="D74" s="2" t="n">
        <f aca="false">INDEX(Rank_Rules!$B$2:$B$9,MATCH(B74,Rank_Rules!$A$2:$A$9,0))</f>
        <v>3</v>
      </c>
      <c r="E74" s="2" t="n">
        <f aca="false">INDEX(Rank_Rules!$C$2:$C$9,MATCH(B74,Rank_Rules!$A$2:$A$9,0))</f>
        <v>5</v>
      </c>
      <c r="F74" s="2" t="str">
        <f aca="false">IF(AND(C74&gt;=D74,C74&lt;=E74),"OK","MISMATCH")</f>
        <v>OK</v>
      </c>
      <c r="G74" s="6" t="n">
        <f aca="false">Person_Data!H74</f>
        <v>57.4</v>
      </c>
      <c r="H74" s="2" t="str">
        <f aca="false">IF(G74&gt;=65,"HIGH",IF(G74&gt;=50,"MEDIUM","LOW"))</f>
        <v>MEDIUM</v>
      </c>
    </row>
    <row r="75" customFormat="false" ht="15" hidden="false" customHeight="false" outlineLevel="0" collapsed="false">
      <c r="A75" s="2" t="str">
        <f aca="false">Person_Data!A75</f>
        <v>G23253</v>
      </c>
      <c r="B75" s="2" t="str">
        <f aca="false">Person_Data!C75</f>
        <v>Junior Warrant Officer</v>
      </c>
      <c r="C75" s="5" t="n">
        <f aca="false">Person_Data!D75</f>
        <v>2.94</v>
      </c>
      <c r="D75" s="2" t="n">
        <f aca="false">INDEX(Rank_Rules!$B$2:$B$9,MATCH(B75,Rank_Rules!$A$2:$A$9,0))</f>
        <v>1</v>
      </c>
      <c r="E75" s="2" t="n">
        <f aca="false">INDEX(Rank_Rules!$C$2:$C$9,MATCH(B75,Rank_Rules!$A$2:$A$9,0))</f>
        <v>3</v>
      </c>
      <c r="F75" s="2" t="str">
        <f aca="false">IF(AND(C75&gt;=D75,C75&lt;=E75),"OK","MISMATCH")</f>
        <v>OK</v>
      </c>
      <c r="G75" s="6" t="n">
        <f aca="false">Person_Data!H75</f>
        <v>55.9</v>
      </c>
      <c r="H75" s="2" t="str">
        <f aca="false">IF(G75&gt;=65,"HIGH",IF(G75&gt;=50,"MEDIUM","LOW"))</f>
        <v>MEDIUM</v>
      </c>
    </row>
    <row r="76" customFormat="false" ht="15" hidden="false" customHeight="false" outlineLevel="0" collapsed="false">
      <c r="A76" s="2" t="str">
        <f aca="false">Person_Data!A76</f>
        <v>G22963</v>
      </c>
      <c r="B76" s="2" t="str">
        <f aca="false">Person_Data!C76</f>
        <v>Warrant Officer</v>
      </c>
      <c r="C76" s="5" t="n">
        <f aca="false">Person_Data!D76</f>
        <v>4.5</v>
      </c>
      <c r="D76" s="2" t="n">
        <f aca="false">INDEX(Rank_Rules!$B$2:$B$9,MATCH(B76,Rank_Rules!$A$2:$A$9,0))</f>
        <v>3</v>
      </c>
      <c r="E76" s="2" t="n">
        <f aca="false">INDEX(Rank_Rules!$C$2:$C$9,MATCH(B76,Rank_Rules!$A$2:$A$9,0))</f>
        <v>5</v>
      </c>
      <c r="F76" s="2" t="str">
        <f aca="false">IF(AND(C76&gt;=D76,C76&lt;=E76),"OK","MISMATCH")</f>
        <v>OK</v>
      </c>
      <c r="G76" s="6" t="n">
        <f aca="false">Person_Data!H76</f>
        <v>48.1</v>
      </c>
      <c r="H76" s="2" t="str">
        <f aca="false">IF(G76&gt;=65,"HIGH",IF(G76&gt;=50,"MEDIUM","LOW"))</f>
        <v>LOW</v>
      </c>
    </row>
    <row r="77" customFormat="false" ht="15" hidden="false" customHeight="false" outlineLevel="0" collapsed="false">
      <c r="A77" s="2" t="str">
        <f aca="false">Person_Data!A77</f>
        <v>G22206</v>
      </c>
      <c r="B77" s="2" t="str">
        <f aca="false">Person_Data!C77</f>
        <v>Warrant Officer</v>
      </c>
      <c r="C77" s="5" t="n">
        <f aca="false">Person_Data!D77</f>
        <v>4.01</v>
      </c>
      <c r="D77" s="2" t="n">
        <f aca="false">INDEX(Rank_Rules!$B$2:$B$9,MATCH(B77,Rank_Rules!$A$2:$A$9,0))</f>
        <v>3</v>
      </c>
      <c r="E77" s="2" t="n">
        <f aca="false">INDEX(Rank_Rules!$C$2:$C$9,MATCH(B77,Rank_Rules!$A$2:$A$9,0))</f>
        <v>5</v>
      </c>
      <c r="F77" s="2" t="str">
        <f aca="false">IF(AND(C77&gt;=D77,C77&lt;=E77),"OK","MISMATCH")</f>
        <v>OK</v>
      </c>
      <c r="G77" s="6" t="n">
        <f aca="false">Person_Data!H77</f>
        <v>45.7</v>
      </c>
      <c r="H77" s="2" t="str">
        <f aca="false">IF(G77&gt;=65,"HIGH",IF(G77&gt;=50,"MEDIUM","LOW"))</f>
        <v>LOW</v>
      </c>
    </row>
    <row r="78" customFormat="false" ht="15" hidden="false" customHeight="false" outlineLevel="0" collapsed="false">
      <c r="A78" s="2" t="str">
        <f aca="false">Person_Data!A78</f>
        <v>G23305</v>
      </c>
      <c r="B78" s="2" t="str">
        <f aca="false">Person_Data!C78</f>
        <v>Junior Warrant Officer</v>
      </c>
      <c r="C78" s="5" t="n">
        <f aca="false">Person_Data!D78</f>
        <v>2.92</v>
      </c>
      <c r="D78" s="2" t="n">
        <f aca="false">INDEX(Rank_Rules!$B$2:$B$9,MATCH(B78,Rank_Rules!$A$2:$A$9,0))</f>
        <v>1</v>
      </c>
      <c r="E78" s="2" t="n">
        <f aca="false">INDEX(Rank_Rules!$C$2:$C$9,MATCH(B78,Rank_Rules!$A$2:$A$9,0))</f>
        <v>3</v>
      </c>
      <c r="F78" s="2" t="str">
        <f aca="false">IF(AND(C78&gt;=D78,C78&lt;=E78),"OK","MISMATCH")</f>
        <v>OK</v>
      </c>
      <c r="G78" s="6" t="n">
        <f aca="false">Person_Data!H78</f>
        <v>45.7</v>
      </c>
      <c r="H78" s="2" t="str">
        <f aca="false">IF(G78&gt;=65,"HIGH",IF(G78&gt;=50,"MEDIUM","LOW"))</f>
        <v>LOW</v>
      </c>
    </row>
    <row r="79" customFormat="false" ht="15" hidden="false" customHeight="false" outlineLevel="0" collapsed="false">
      <c r="A79" s="2" t="str">
        <f aca="false">Person_Data!A79</f>
        <v>G24645</v>
      </c>
      <c r="B79" s="2" t="str">
        <f aca="false">Person_Data!C79</f>
        <v>Junior Warrant Officer</v>
      </c>
      <c r="C79" s="5" t="n">
        <f aca="false">Person_Data!D79</f>
        <v>2.19</v>
      </c>
      <c r="D79" s="2" t="n">
        <f aca="false">INDEX(Rank_Rules!$B$2:$B$9,MATCH(B79,Rank_Rules!$A$2:$A$9,0))</f>
        <v>1</v>
      </c>
      <c r="E79" s="2" t="n">
        <f aca="false">INDEX(Rank_Rules!$C$2:$C$9,MATCH(B79,Rank_Rules!$A$2:$A$9,0))</f>
        <v>3</v>
      </c>
      <c r="F79" s="2" t="str">
        <f aca="false">IF(AND(C79&gt;=D79,C79&lt;=E79),"OK","MISMATCH")</f>
        <v>OK</v>
      </c>
      <c r="G79" s="6" t="n">
        <f aca="false">Person_Data!H79</f>
        <v>46.1</v>
      </c>
      <c r="H79" s="2" t="str">
        <f aca="false">IF(G79&gt;=65,"HIGH",IF(G79&gt;=50,"MEDIUM","LOW"))</f>
        <v>LOW</v>
      </c>
    </row>
    <row r="80" customFormat="false" ht="15" hidden="false" customHeight="false" outlineLevel="0" collapsed="false">
      <c r="A80" s="2" t="str">
        <f aca="false">Person_Data!A80</f>
        <v>G25276</v>
      </c>
      <c r="B80" s="2" t="str">
        <f aca="false">Person_Data!C80</f>
        <v>Junior Warrant Officer</v>
      </c>
      <c r="C80" s="5" t="n">
        <f aca="false">Person_Data!D80</f>
        <v>1.24</v>
      </c>
      <c r="D80" s="2" t="n">
        <f aca="false">INDEX(Rank_Rules!$B$2:$B$9,MATCH(B80,Rank_Rules!$A$2:$A$9,0))</f>
        <v>1</v>
      </c>
      <c r="E80" s="2" t="n">
        <f aca="false">INDEX(Rank_Rules!$C$2:$C$9,MATCH(B80,Rank_Rules!$A$2:$A$9,0))</f>
        <v>3</v>
      </c>
      <c r="F80" s="2" t="str">
        <f aca="false">IF(AND(C80&gt;=D80,C80&lt;=E80),"OK","MISMATCH")</f>
        <v>OK</v>
      </c>
      <c r="G80" s="6" t="n">
        <f aca="false">Person_Data!H80</f>
        <v>57.4</v>
      </c>
      <c r="H80" s="2" t="str">
        <f aca="false">IF(G80&gt;=65,"HIGH",IF(G80&gt;=50,"MEDIUM","LOW"))</f>
        <v>MEDIUM</v>
      </c>
    </row>
    <row r="81" customFormat="false" ht="15" hidden="false" customHeight="false" outlineLevel="0" collapsed="false">
      <c r="A81" s="2" t="str">
        <f aca="false">Person_Data!A81</f>
        <v>G24726</v>
      </c>
      <c r="B81" s="2" t="str">
        <f aca="false">Person_Data!C81</f>
        <v>Junior Warrant Officer</v>
      </c>
      <c r="C81" s="5" t="n">
        <f aca="false">Person_Data!D81</f>
        <v>2.19</v>
      </c>
      <c r="D81" s="2" t="n">
        <f aca="false">INDEX(Rank_Rules!$B$2:$B$9,MATCH(B81,Rank_Rules!$A$2:$A$9,0))</f>
        <v>1</v>
      </c>
      <c r="E81" s="2" t="n">
        <f aca="false">INDEX(Rank_Rules!$C$2:$C$9,MATCH(B81,Rank_Rules!$A$2:$A$9,0))</f>
        <v>3</v>
      </c>
      <c r="F81" s="2" t="str">
        <f aca="false">IF(AND(C81&gt;=D81,C81&lt;=E81),"OK","MISMATCH")</f>
        <v>OK</v>
      </c>
      <c r="G81" s="6" t="n">
        <f aca="false">Person_Data!H81</f>
        <v>48.1</v>
      </c>
      <c r="H81" s="2" t="str">
        <f aca="false">IF(G81&gt;=65,"HIGH",IF(G81&gt;=50,"MEDIUM","LOW"))</f>
        <v>LOW</v>
      </c>
    </row>
    <row r="82" customFormat="false" ht="15" hidden="false" customHeight="false" outlineLevel="0" collapsed="false">
      <c r="A82" s="2" t="str">
        <f aca="false">Person_Data!A82</f>
        <v>G22585</v>
      </c>
      <c r="B82" s="2" t="str">
        <f aca="false">Person_Data!C82</f>
        <v>Warrant Officer</v>
      </c>
      <c r="C82" s="5" t="n">
        <f aca="false">Person_Data!D82</f>
        <v>4.17</v>
      </c>
      <c r="D82" s="2" t="n">
        <f aca="false">INDEX(Rank_Rules!$B$2:$B$9,MATCH(B82,Rank_Rules!$A$2:$A$9,0))</f>
        <v>3</v>
      </c>
      <c r="E82" s="2" t="n">
        <f aca="false">INDEX(Rank_Rules!$C$2:$C$9,MATCH(B82,Rank_Rules!$A$2:$A$9,0))</f>
        <v>5</v>
      </c>
      <c r="F82" s="2" t="str">
        <f aca="false">IF(AND(C82&gt;=D82,C82&lt;=E82),"OK","MISMATCH")</f>
        <v>OK</v>
      </c>
      <c r="G82" s="6" t="n">
        <f aca="false">Person_Data!H82</f>
        <v>48.1</v>
      </c>
      <c r="H82" s="2" t="str">
        <f aca="false">IF(G82&gt;=65,"HIGH",IF(G82&gt;=50,"MEDIUM","LOW"))</f>
        <v>LOW</v>
      </c>
    </row>
    <row r="83" customFormat="false" ht="15" hidden="false" customHeight="false" outlineLevel="0" collapsed="false">
      <c r="A83" s="2" t="str">
        <f aca="false">Person_Data!A83</f>
        <v>G18574</v>
      </c>
      <c r="B83" s="2" t="str">
        <f aca="false">Person_Data!C83</f>
        <v>Senior Warrant Officer</v>
      </c>
      <c r="C83" s="5" t="n">
        <f aca="false">Person_Data!D83</f>
        <v>8.06</v>
      </c>
      <c r="D83" s="2" t="n">
        <f aca="false">INDEX(Rank_Rules!$B$2:$B$9,MATCH(B83,Rank_Rules!$A$2:$A$9,0))</f>
        <v>5</v>
      </c>
      <c r="E83" s="2" t="n">
        <f aca="false">INDEX(Rank_Rules!$C$2:$C$9,MATCH(B83,Rank_Rules!$A$2:$A$9,0))</f>
        <v>20</v>
      </c>
      <c r="F83" s="2" t="str">
        <f aca="false">IF(AND(C83&gt;=D83,C83&lt;=E83),"OK","MISMATCH")</f>
        <v>OK</v>
      </c>
      <c r="G83" s="6" t="n">
        <f aca="false">Person_Data!H83</f>
        <v>48.1</v>
      </c>
      <c r="H83" s="2" t="str">
        <f aca="false">IF(G83&gt;=65,"HIGH",IF(G83&gt;=50,"MEDIUM","LOW"))</f>
        <v>LOW</v>
      </c>
    </row>
    <row r="84" customFormat="false" ht="15" hidden="false" customHeight="false" outlineLevel="0" collapsed="false">
      <c r="A84" s="2" t="str">
        <f aca="false">Person_Data!A84</f>
        <v>G24803</v>
      </c>
      <c r="B84" s="2" t="str">
        <f aca="false">Person_Data!C84</f>
        <v>Junior Warrant Officer</v>
      </c>
      <c r="C84" s="5" t="n">
        <f aca="false">Person_Data!D84</f>
        <v>1.79</v>
      </c>
      <c r="D84" s="2" t="n">
        <f aca="false">INDEX(Rank_Rules!$B$2:$B$9,MATCH(B84,Rank_Rules!$A$2:$A$9,0))</f>
        <v>1</v>
      </c>
      <c r="E84" s="2" t="n">
        <f aca="false">INDEX(Rank_Rules!$C$2:$C$9,MATCH(B84,Rank_Rules!$A$2:$A$9,0))</f>
        <v>3</v>
      </c>
      <c r="F84" s="2" t="str">
        <f aca="false">IF(AND(C84&gt;=D84,C84&lt;=E84),"OK","MISMATCH")</f>
        <v>OK</v>
      </c>
      <c r="G84" s="6" t="n">
        <f aca="false">Person_Data!H84</f>
        <v>48.1</v>
      </c>
      <c r="H84" s="2" t="str">
        <f aca="false">IF(G84&gt;=65,"HIGH",IF(G84&gt;=50,"MEDIUM","LOW"))</f>
        <v>LOW</v>
      </c>
    </row>
    <row r="85" customFormat="false" ht="15" hidden="false" customHeight="false" outlineLevel="0" collapsed="false">
      <c r="A85" s="2" t="str">
        <f aca="false">Person_Data!A85</f>
        <v>G24422</v>
      </c>
      <c r="B85" s="2" t="str">
        <f aca="false">Person_Data!C85</f>
        <v>Junior Warrant Officer</v>
      </c>
      <c r="C85" s="5" t="n">
        <f aca="false">Person_Data!D85</f>
        <v>1.63</v>
      </c>
      <c r="D85" s="2" t="n">
        <f aca="false">INDEX(Rank_Rules!$B$2:$B$9,MATCH(B85,Rank_Rules!$A$2:$A$9,0))</f>
        <v>1</v>
      </c>
      <c r="E85" s="2" t="n">
        <f aca="false">INDEX(Rank_Rules!$C$2:$C$9,MATCH(B85,Rank_Rules!$A$2:$A$9,0))</f>
        <v>3</v>
      </c>
      <c r="F85" s="2" t="str">
        <f aca="false">IF(AND(C85&gt;=D85,C85&lt;=E85),"OK","MISMATCH")</f>
        <v>OK</v>
      </c>
      <c r="G85" s="6" t="n">
        <f aca="false">Person_Data!H85</f>
        <v>48.1</v>
      </c>
      <c r="H85" s="2" t="str">
        <f aca="false">IF(G85&gt;=65,"HIGH",IF(G85&gt;=50,"MEDIUM","LOW"))</f>
        <v>LOW</v>
      </c>
    </row>
    <row r="86" customFormat="false" ht="15" hidden="false" customHeight="false" outlineLevel="0" collapsed="false">
      <c r="A86" s="2" t="str">
        <f aca="false">Person_Data!A86</f>
        <v>G24379</v>
      </c>
      <c r="B86" s="2" t="str">
        <f aca="false">Person_Data!C86</f>
        <v>Junior Warrant Officer</v>
      </c>
      <c r="C86" s="5" t="n">
        <f aca="false">Person_Data!D86</f>
        <v>1.92</v>
      </c>
      <c r="D86" s="2" t="n">
        <f aca="false">INDEX(Rank_Rules!$B$2:$B$9,MATCH(B86,Rank_Rules!$A$2:$A$9,0))</f>
        <v>1</v>
      </c>
      <c r="E86" s="2" t="n">
        <f aca="false">INDEX(Rank_Rules!$C$2:$C$9,MATCH(B86,Rank_Rules!$A$2:$A$9,0))</f>
        <v>3</v>
      </c>
      <c r="F86" s="2" t="str">
        <f aca="false">IF(AND(C86&gt;=D86,C86&lt;=E86),"OK","MISMATCH")</f>
        <v>OK</v>
      </c>
      <c r="G86" s="6" t="n">
        <f aca="false">Person_Data!H86</f>
        <v>45.7</v>
      </c>
      <c r="H86" s="2" t="str">
        <f aca="false">IF(G86&gt;=65,"HIGH",IF(G86&gt;=50,"MEDIUM","LOW"))</f>
        <v>LOW</v>
      </c>
    </row>
    <row r="87" customFormat="false" ht="15" hidden="false" customHeight="false" outlineLevel="0" collapsed="false">
      <c r="A87" s="2" t="str">
        <f aca="false">Person_Data!A87</f>
        <v>G20209</v>
      </c>
      <c r="B87" s="2" t="str">
        <f aca="false">Person_Data!C87</f>
        <v>Senior Warrant Officer</v>
      </c>
      <c r="C87" s="5" t="n">
        <f aca="false">Person_Data!D87</f>
        <v>6.1</v>
      </c>
      <c r="D87" s="2" t="n">
        <f aca="false">INDEX(Rank_Rules!$B$2:$B$9,MATCH(B87,Rank_Rules!$A$2:$A$9,0))</f>
        <v>5</v>
      </c>
      <c r="E87" s="2" t="n">
        <f aca="false">INDEX(Rank_Rules!$C$2:$C$9,MATCH(B87,Rank_Rules!$A$2:$A$9,0))</f>
        <v>20</v>
      </c>
      <c r="F87" s="2" t="str">
        <f aca="false">IF(AND(C87&gt;=D87,C87&lt;=E87),"OK","MISMATCH")</f>
        <v>OK</v>
      </c>
      <c r="G87" s="6" t="n">
        <f aca="false">Person_Data!H87</f>
        <v>48.1</v>
      </c>
      <c r="H87" s="2" t="str">
        <f aca="false">IF(G87&gt;=65,"HIGH",IF(G87&gt;=50,"MEDIUM","LOW"))</f>
        <v>LOW</v>
      </c>
    </row>
    <row r="88" customFormat="false" ht="15" hidden="false" customHeight="false" outlineLevel="0" collapsed="false">
      <c r="A88" s="2" t="str">
        <f aca="false">Person_Data!A88</f>
        <v>G23995</v>
      </c>
      <c r="B88" s="2" t="str">
        <f aca="false">Person_Data!C88</f>
        <v>Junior Warrant Officer</v>
      </c>
      <c r="C88" s="5" t="n">
        <f aca="false">Person_Data!D88</f>
        <v>2.87</v>
      </c>
      <c r="D88" s="2" t="n">
        <f aca="false">INDEX(Rank_Rules!$B$2:$B$9,MATCH(B88,Rank_Rules!$A$2:$A$9,0))</f>
        <v>1</v>
      </c>
      <c r="E88" s="2" t="n">
        <f aca="false">INDEX(Rank_Rules!$C$2:$C$9,MATCH(B88,Rank_Rules!$A$2:$A$9,0))</f>
        <v>3</v>
      </c>
      <c r="F88" s="2" t="str">
        <f aca="false">IF(AND(C88&gt;=D88,C88&lt;=E88),"OK","MISMATCH")</f>
        <v>OK</v>
      </c>
      <c r="G88" s="6" t="n">
        <f aca="false">Person_Data!H88</f>
        <v>60.1</v>
      </c>
      <c r="H88" s="2" t="str">
        <f aca="false">IF(G88&gt;=65,"HIGH",IF(G88&gt;=50,"MEDIUM","LOW"))</f>
        <v>MEDIUM</v>
      </c>
    </row>
    <row r="89" customFormat="false" ht="15" hidden="false" customHeight="false" outlineLevel="0" collapsed="false">
      <c r="A89" s="2" t="str">
        <f aca="false">Person_Data!A89</f>
        <v>G15195</v>
      </c>
      <c r="B89" s="2" t="str">
        <f aca="false">Person_Data!C89</f>
        <v>Senior Warrant Officer</v>
      </c>
      <c r="C89" s="5" t="n">
        <f aca="false">Person_Data!D89</f>
        <v>10.54</v>
      </c>
      <c r="D89" s="2" t="n">
        <f aca="false">INDEX(Rank_Rules!$B$2:$B$9,MATCH(B89,Rank_Rules!$A$2:$A$9,0))</f>
        <v>5</v>
      </c>
      <c r="E89" s="2" t="n">
        <f aca="false">INDEX(Rank_Rules!$C$2:$C$9,MATCH(B89,Rank_Rules!$A$2:$A$9,0))</f>
        <v>20</v>
      </c>
      <c r="F89" s="2" t="str">
        <f aca="false">IF(AND(C89&gt;=D89,C89&lt;=E89),"OK","MISMATCH")</f>
        <v>OK</v>
      </c>
      <c r="G89" s="6" t="n">
        <f aca="false">Person_Data!H89</f>
        <v>46.6</v>
      </c>
      <c r="H89" s="2" t="str">
        <f aca="false">IF(G89&gt;=65,"HIGH",IF(G89&gt;=50,"MEDIUM","LOW"))</f>
        <v>LOW</v>
      </c>
    </row>
    <row r="90" customFormat="false" ht="15" hidden="false" customHeight="false" outlineLevel="0" collapsed="false">
      <c r="A90" s="2" t="str">
        <f aca="false">Person_Data!A90</f>
        <v>G10686</v>
      </c>
      <c r="B90" s="2" t="str">
        <f aca="false">Person_Data!C90</f>
        <v>Senior Warrant Officer</v>
      </c>
      <c r="C90" s="5" t="n">
        <f aca="false">Person_Data!D90</f>
        <v>15.55</v>
      </c>
      <c r="D90" s="2" t="n">
        <f aca="false">INDEX(Rank_Rules!$B$2:$B$9,MATCH(B90,Rank_Rules!$A$2:$A$9,0))</f>
        <v>5</v>
      </c>
      <c r="E90" s="2" t="n">
        <f aca="false">INDEX(Rank_Rules!$C$2:$C$9,MATCH(B90,Rank_Rules!$A$2:$A$9,0))</f>
        <v>20</v>
      </c>
      <c r="F90" s="2" t="str">
        <f aca="false">IF(AND(C90&gt;=D90,C90&lt;=E90),"OK","MISMATCH")</f>
        <v>OK</v>
      </c>
      <c r="G90" s="6" t="n">
        <f aca="false">Person_Data!H90</f>
        <v>48.1</v>
      </c>
      <c r="H90" s="2" t="str">
        <f aca="false">IF(G90&gt;=65,"HIGH",IF(G90&gt;=50,"MEDIUM","LOW"))</f>
        <v>LOW</v>
      </c>
    </row>
    <row r="91" customFormat="false" ht="15" hidden="false" customHeight="false" outlineLevel="0" collapsed="false">
      <c r="A91" s="2" t="str">
        <f aca="false">Person_Data!A91</f>
        <v>G11957</v>
      </c>
      <c r="B91" s="2" t="str">
        <f aca="false">Person_Data!C91</f>
        <v>Senior Warrant Officer</v>
      </c>
      <c r="C91" s="5" t="n">
        <f aca="false">Person_Data!D91</f>
        <v>14.81</v>
      </c>
      <c r="D91" s="2" t="n">
        <f aca="false">INDEX(Rank_Rules!$B$2:$B$9,MATCH(B91,Rank_Rules!$A$2:$A$9,0))</f>
        <v>5</v>
      </c>
      <c r="E91" s="2" t="n">
        <f aca="false">INDEX(Rank_Rules!$C$2:$C$9,MATCH(B91,Rank_Rules!$A$2:$A$9,0))</f>
        <v>20</v>
      </c>
      <c r="F91" s="2" t="str">
        <f aca="false">IF(AND(C91&gt;=D91,C91&lt;=E91),"OK","MISMATCH")</f>
        <v>OK</v>
      </c>
      <c r="G91" s="6" t="n">
        <f aca="false">Person_Data!H91</f>
        <v>48.1</v>
      </c>
      <c r="H91" s="2" t="str">
        <f aca="false">IF(G91&gt;=65,"HIGH",IF(G91&gt;=50,"MEDIUM","LOW"))</f>
        <v>LOW</v>
      </c>
    </row>
    <row r="92" customFormat="false" ht="15" hidden="false" customHeight="false" outlineLevel="0" collapsed="false">
      <c r="A92" s="2" t="str">
        <f aca="false">Person_Data!A92</f>
        <v>G17797</v>
      </c>
      <c r="B92" s="2" t="str">
        <f aca="false">Person_Data!C92</f>
        <v>Senior Warrant Officer</v>
      </c>
      <c r="C92" s="5" t="n">
        <f aca="false">Person_Data!D92</f>
        <v>9.49</v>
      </c>
      <c r="D92" s="2" t="n">
        <f aca="false">INDEX(Rank_Rules!$B$2:$B$9,MATCH(B92,Rank_Rules!$A$2:$A$9,0))</f>
        <v>5</v>
      </c>
      <c r="E92" s="2" t="n">
        <f aca="false">INDEX(Rank_Rules!$C$2:$C$9,MATCH(B92,Rank_Rules!$A$2:$A$9,0))</f>
        <v>20</v>
      </c>
      <c r="F92" s="2" t="str">
        <f aca="false">IF(AND(C92&gt;=D92,C92&lt;=E92),"OK","MISMATCH")</f>
        <v>OK</v>
      </c>
      <c r="G92" s="6" t="n">
        <f aca="false">Person_Data!H92</f>
        <v>57.4</v>
      </c>
      <c r="H92" s="2" t="str">
        <f aca="false">IF(G92&gt;=65,"HIGH",IF(G92&gt;=50,"MEDIUM","LOW"))</f>
        <v>MEDIUM</v>
      </c>
    </row>
    <row r="93" customFormat="false" ht="15" hidden="false" customHeight="false" outlineLevel="0" collapsed="false">
      <c r="A93" s="2" t="str">
        <f aca="false">Person_Data!A93</f>
        <v>G19538</v>
      </c>
      <c r="B93" s="2" t="str">
        <f aca="false">Person_Data!C93</f>
        <v>Senior Warrant Officer</v>
      </c>
      <c r="C93" s="5" t="n">
        <f aca="false">Person_Data!D93</f>
        <v>7.01</v>
      </c>
      <c r="D93" s="2" t="n">
        <f aca="false">INDEX(Rank_Rules!$B$2:$B$9,MATCH(B93,Rank_Rules!$A$2:$A$9,0))</f>
        <v>5</v>
      </c>
      <c r="E93" s="2" t="n">
        <f aca="false">INDEX(Rank_Rules!$C$2:$C$9,MATCH(B93,Rank_Rules!$A$2:$A$9,0))</f>
        <v>20</v>
      </c>
      <c r="F93" s="2" t="str">
        <f aca="false">IF(AND(C93&gt;=D93,C93&lt;=E93),"OK","MISMATCH")</f>
        <v>OK</v>
      </c>
      <c r="G93" s="6" t="n">
        <f aca="false">Person_Data!H93</f>
        <v>45.7</v>
      </c>
      <c r="H93" s="2" t="str">
        <f aca="false">IF(G93&gt;=65,"HIGH",IF(G93&gt;=50,"MEDIUM","LOW"))</f>
        <v>LOW</v>
      </c>
    </row>
    <row r="94" customFormat="false" ht="15" hidden="false" customHeight="false" outlineLevel="0" collapsed="false">
      <c r="A94" s="2" t="str">
        <f aca="false">Person_Data!A94</f>
        <v>G24344</v>
      </c>
      <c r="B94" s="2" t="str">
        <f aca="false">Person_Data!C94</f>
        <v>Junior Warrant Officer</v>
      </c>
      <c r="C94" s="5" t="n">
        <f aca="false">Person_Data!D94</f>
        <v>2.11</v>
      </c>
      <c r="D94" s="2" t="n">
        <f aca="false">INDEX(Rank_Rules!$B$2:$B$9,MATCH(B94,Rank_Rules!$A$2:$A$9,0))</f>
        <v>1</v>
      </c>
      <c r="E94" s="2" t="n">
        <f aca="false">INDEX(Rank_Rules!$C$2:$C$9,MATCH(B94,Rank_Rules!$A$2:$A$9,0))</f>
        <v>3</v>
      </c>
      <c r="F94" s="2" t="str">
        <f aca="false">IF(AND(C94&gt;=D94,C94&lt;=E94),"OK","MISMATCH")</f>
        <v>OK</v>
      </c>
      <c r="G94" s="6" t="n">
        <f aca="false">Person_Data!H94</f>
        <v>48.1</v>
      </c>
      <c r="H94" s="2" t="str">
        <f aca="false">IF(G94&gt;=65,"HIGH",IF(G94&gt;=50,"MEDIUM","LOW"))</f>
        <v>LOW</v>
      </c>
    </row>
    <row r="95" customFormat="false" ht="15" hidden="false" customHeight="false" outlineLevel="0" collapsed="false">
      <c r="A95" s="2" t="str">
        <f aca="false">Person_Data!A95</f>
        <v>G22249</v>
      </c>
      <c r="B95" s="2" t="str">
        <f aca="false">Person_Data!C95</f>
        <v>Warrant Officer</v>
      </c>
      <c r="C95" s="5" t="n">
        <f aca="false">Person_Data!D95</f>
        <v>4.44</v>
      </c>
      <c r="D95" s="2" t="n">
        <f aca="false">INDEX(Rank_Rules!$B$2:$B$9,MATCH(B95,Rank_Rules!$A$2:$A$9,0))</f>
        <v>3</v>
      </c>
      <c r="E95" s="2" t="n">
        <f aca="false">INDEX(Rank_Rules!$C$2:$C$9,MATCH(B95,Rank_Rules!$A$2:$A$9,0))</f>
        <v>5</v>
      </c>
      <c r="F95" s="2" t="str">
        <f aca="false">IF(AND(C95&gt;=D95,C95&lt;=E95),"OK","MISMATCH")</f>
        <v>OK</v>
      </c>
      <c r="G95" s="6" t="n">
        <f aca="false">Person_Data!H95</f>
        <v>48.1</v>
      </c>
      <c r="H95" s="2" t="str">
        <f aca="false">IF(G95&gt;=65,"HIGH",IF(G95&gt;=50,"MEDIUM","LOW"))</f>
        <v>LOW</v>
      </c>
    </row>
    <row r="96" customFormat="false" ht="15" hidden="false" customHeight="false" outlineLevel="0" collapsed="false">
      <c r="A96" s="2" t="str">
        <f aca="false">Person_Data!A96</f>
        <v>G22769</v>
      </c>
      <c r="B96" s="2" t="str">
        <f aca="false">Person_Data!C96</f>
        <v>Warrant Officer</v>
      </c>
      <c r="C96" s="5" t="n">
        <f aca="false">Person_Data!D96</f>
        <v>3.53</v>
      </c>
      <c r="D96" s="2" t="n">
        <f aca="false">INDEX(Rank_Rules!$B$2:$B$9,MATCH(B96,Rank_Rules!$A$2:$A$9,0))</f>
        <v>3</v>
      </c>
      <c r="E96" s="2" t="n">
        <f aca="false">INDEX(Rank_Rules!$C$2:$C$9,MATCH(B96,Rank_Rules!$A$2:$A$9,0))</f>
        <v>5</v>
      </c>
      <c r="F96" s="2" t="str">
        <f aca="false">IF(AND(C96&gt;=D96,C96&lt;=E96),"OK","MISMATCH")</f>
        <v>OK</v>
      </c>
      <c r="G96" s="6" t="n">
        <f aca="false">Person_Data!H96</f>
        <v>57.4</v>
      </c>
      <c r="H96" s="2" t="str">
        <f aca="false">IF(G96&gt;=65,"HIGH",IF(G96&gt;=50,"MEDIUM","LOW"))</f>
        <v>MEDIUM</v>
      </c>
    </row>
    <row r="97" customFormat="false" ht="15" hidden="false" customHeight="false" outlineLevel="0" collapsed="false">
      <c r="A97" s="2" t="str">
        <f aca="false">Person_Data!A97</f>
        <v>G08859</v>
      </c>
      <c r="B97" s="2" t="str">
        <f aca="false">Person_Data!C97</f>
        <v>Senior Warrant Officer</v>
      </c>
      <c r="C97" s="5" t="n">
        <f aca="false">Person_Data!D97</f>
        <v>17.69</v>
      </c>
      <c r="D97" s="2" t="n">
        <f aca="false">INDEX(Rank_Rules!$B$2:$B$9,MATCH(B97,Rank_Rules!$A$2:$A$9,0))</f>
        <v>5</v>
      </c>
      <c r="E97" s="2" t="n">
        <f aca="false">INDEX(Rank_Rules!$C$2:$C$9,MATCH(B97,Rank_Rules!$A$2:$A$9,0))</f>
        <v>20</v>
      </c>
      <c r="F97" s="2" t="str">
        <f aca="false">IF(AND(C97&gt;=D97,C97&lt;=E97),"OK","MISMATCH")</f>
        <v>OK</v>
      </c>
      <c r="G97" s="6" t="n">
        <f aca="false">Person_Data!H97</f>
        <v>48.1</v>
      </c>
      <c r="H97" s="2" t="str">
        <f aca="false">IF(G97&gt;=65,"HIGH",IF(G97&gt;=50,"MEDIUM","LOW"))</f>
        <v>LOW</v>
      </c>
    </row>
    <row r="98" customFormat="false" ht="15" hidden="false" customHeight="false" outlineLevel="0" collapsed="false">
      <c r="A98" s="2" t="str">
        <f aca="false">Person_Data!A98</f>
        <v>G22733</v>
      </c>
      <c r="B98" s="2" t="str">
        <f aca="false">Person_Data!C98</f>
        <v>Warrant Officer</v>
      </c>
      <c r="C98" s="5" t="n">
        <f aca="false">Person_Data!D98</f>
        <v>3.55</v>
      </c>
      <c r="D98" s="2" t="n">
        <f aca="false">INDEX(Rank_Rules!$B$2:$B$9,MATCH(B98,Rank_Rules!$A$2:$A$9,0))</f>
        <v>3</v>
      </c>
      <c r="E98" s="2" t="n">
        <f aca="false">INDEX(Rank_Rules!$C$2:$C$9,MATCH(B98,Rank_Rules!$A$2:$A$9,0))</f>
        <v>5</v>
      </c>
      <c r="F98" s="2" t="str">
        <f aca="false">IF(AND(C98&gt;=D98,C98&lt;=E98),"OK","MISMATCH")</f>
        <v>OK</v>
      </c>
      <c r="G98" s="6" t="n">
        <f aca="false">Person_Data!H98</f>
        <v>46.6</v>
      </c>
      <c r="H98" s="2" t="str">
        <f aca="false">IF(G98&gt;=65,"HIGH",IF(G98&gt;=50,"MEDIUM","LOW"))</f>
        <v>LOW</v>
      </c>
    </row>
    <row r="99" customFormat="false" ht="15" hidden="false" customHeight="false" outlineLevel="0" collapsed="false">
      <c r="A99" s="2" t="str">
        <f aca="false">Person_Data!A99</f>
        <v>G11223</v>
      </c>
      <c r="B99" s="2" t="str">
        <f aca="false">Person_Data!C99</f>
        <v>Senior Warrant Officer</v>
      </c>
      <c r="C99" s="5" t="n">
        <f aca="false">Person_Data!D99</f>
        <v>14.56</v>
      </c>
      <c r="D99" s="2" t="n">
        <f aca="false">INDEX(Rank_Rules!$B$2:$B$9,MATCH(B99,Rank_Rules!$A$2:$A$9,0))</f>
        <v>5</v>
      </c>
      <c r="E99" s="2" t="n">
        <f aca="false">INDEX(Rank_Rules!$C$2:$C$9,MATCH(B99,Rank_Rules!$A$2:$A$9,0))</f>
        <v>20</v>
      </c>
      <c r="F99" s="2" t="str">
        <f aca="false">IF(AND(C99&gt;=D99,C99&lt;=E99),"OK","MISMATCH")</f>
        <v>OK</v>
      </c>
      <c r="G99" s="6" t="n">
        <f aca="false">Person_Data!H99</f>
        <v>48.1</v>
      </c>
      <c r="H99" s="2" t="str">
        <f aca="false">IF(G99&gt;=65,"HIGH",IF(G99&gt;=50,"MEDIUM","LOW"))</f>
        <v>LOW</v>
      </c>
    </row>
    <row r="100" customFormat="false" ht="15" hidden="false" customHeight="false" outlineLevel="0" collapsed="false">
      <c r="A100" s="2" t="str">
        <f aca="false">Person_Data!A100</f>
        <v>G13364</v>
      </c>
      <c r="B100" s="2" t="str">
        <f aca="false">Person_Data!C100</f>
        <v>Senior Warrant Officer</v>
      </c>
      <c r="C100" s="5" t="n">
        <f aca="false">Person_Data!D100</f>
        <v>13.28</v>
      </c>
      <c r="D100" s="2" t="n">
        <f aca="false">INDEX(Rank_Rules!$B$2:$B$9,MATCH(B100,Rank_Rules!$A$2:$A$9,0))</f>
        <v>5</v>
      </c>
      <c r="E100" s="2" t="n">
        <f aca="false">INDEX(Rank_Rules!$C$2:$C$9,MATCH(B100,Rank_Rules!$A$2:$A$9,0))</f>
        <v>20</v>
      </c>
      <c r="F100" s="2" t="str">
        <f aca="false">IF(AND(C100&gt;=D100,C100&lt;=E100),"OK","MISMATCH")</f>
        <v>OK</v>
      </c>
      <c r="G100" s="6" t="n">
        <f aca="false">Person_Data!H100</f>
        <v>48.1</v>
      </c>
      <c r="H100" s="2" t="str">
        <f aca="false">IF(G100&gt;=65,"HIGH",IF(G100&gt;=50,"MEDIUM","LOW"))</f>
        <v>LOW</v>
      </c>
    </row>
    <row r="101" customFormat="false" ht="15" hidden="false" customHeight="false" outlineLevel="0" collapsed="false">
      <c r="A101" s="2" t="str">
        <f aca="false">Person_Data!A101</f>
        <v>G25102</v>
      </c>
      <c r="B101" s="2" t="str">
        <f aca="false">Person_Data!C101</f>
        <v>Junior Warrant Officer</v>
      </c>
      <c r="C101" s="5" t="n">
        <f aca="false">Person_Data!D101</f>
        <v>1.15</v>
      </c>
      <c r="D101" s="2" t="n">
        <f aca="false">INDEX(Rank_Rules!$B$2:$B$9,MATCH(B101,Rank_Rules!$A$2:$A$9,0))</f>
        <v>1</v>
      </c>
      <c r="E101" s="2" t="n">
        <f aca="false">INDEX(Rank_Rules!$C$2:$C$9,MATCH(B101,Rank_Rules!$A$2:$A$9,0))</f>
        <v>3</v>
      </c>
      <c r="F101" s="2" t="str">
        <f aca="false">IF(AND(C101&gt;=D101,C101&lt;=E101),"OK","MISMATCH")</f>
        <v>OK</v>
      </c>
      <c r="G101" s="6" t="n">
        <f aca="false">Person_Data!H101</f>
        <v>48.1</v>
      </c>
      <c r="H101" s="2" t="str">
        <f aca="false">IF(G101&gt;=65,"HIGH",IF(G101&gt;=50,"MEDIUM","LOW"))</f>
        <v>LOW</v>
      </c>
    </row>
    <row r="102" customFormat="false" ht="15" hidden="false" customHeight="false" outlineLevel="0" collapsed="false">
      <c r="A102" s="2" t="str">
        <f aca="false">Person_Data!A102</f>
        <v>G13541</v>
      </c>
      <c r="B102" s="2" t="str">
        <f aca="false">Person_Data!C102</f>
        <v>Senior Warrant Officer</v>
      </c>
      <c r="C102" s="5" t="n">
        <f aca="false">Person_Data!D102</f>
        <v>13.18</v>
      </c>
      <c r="D102" s="2" t="n">
        <f aca="false">INDEX(Rank_Rules!$B$2:$B$9,MATCH(B102,Rank_Rules!$A$2:$A$9,0))</f>
        <v>5</v>
      </c>
      <c r="E102" s="2" t="n">
        <f aca="false">INDEX(Rank_Rules!$C$2:$C$9,MATCH(B102,Rank_Rules!$A$2:$A$9,0))</f>
        <v>20</v>
      </c>
      <c r="F102" s="2" t="str">
        <f aca="false">IF(AND(C102&gt;=D102,C102&lt;=E102),"OK","MISMATCH")</f>
        <v>OK</v>
      </c>
      <c r="G102" s="6" t="n">
        <f aca="false">Person_Data!H102</f>
        <v>48.1</v>
      </c>
      <c r="H102" s="2" t="str">
        <f aca="false">IF(G102&gt;=65,"HIGH",IF(G102&gt;=50,"MEDIUM","LOW"))</f>
        <v>LOW</v>
      </c>
    </row>
    <row r="103" customFormat="false" ht="15" hidden="false" customHeight="false" outlineLevel="0" collapsed="false">
      <c r="A103" s="2" t="str">
        <f aca="false">Person_Data!A103</f>
        <v>G23338</v>
      </c>
      <c r="B103" s="2" t="str">
        <f aca="false">Person_Data!C103</f>
        <v>Warrant Officer</v>
      </c>
      <c r="C103" s="5" t="n">
        <f aca="false">Person_Data!D103</f>
        <v>3.3</v>
      </c>
      <c r="D103" s="2" t="n">
        <f aca="false">INDEX(Rank_Rules!$B$2:$B$9,MATCH(B103,Rank_Rules!$A$2:$A$9,0))</f>
        <v>3</v>
      </c>
      <c r="E103" s="2" t="n">
        <f aca="false">INDEX(Rank_Rules!$C$2:$C$9,MATCH(B103,Rank_Rules!$A$2:$A$9,0))</f>
        <v>5</v>
      </c>
      <c r="F103" s="2" t="str">
        <f aca="false">IF(AND(C103&gt;=D103,C103&lt;=E103),"OK","MISMATCH")</f>
        <v>OK</v>
      </c>
      <c r="G103" s="6" t="n">
        <f aca="false">Person_Data!H103</f>
        <v>48.1</v>
      </c>
      <c r="H103" s="2" t="str">
        <f aca="false">IF(G103&gt;=65,"HIGH",IF(G103&gt;=50,"MEDIUM","LOW"))</f>
        <v>LOW</v>
      </c>
    </row>
    <row r="104" customFormat="false" ht="15" hidden="false" customHeight="false" outlineLevel="0" collapsed="false">
      <c r="A104" s="2" t="str">
        <f aca="false">Person_Data!A104</f>
        <v>G21587</v>
      </c>
      <c r="B104" s="2" t="str">
        <f aca="false">Person_Data!C104</f>
        <v>Warrant Officer</v>
      </c>
      <c r="C104" s="5" t="n">
        <f aca="false">Person_Data!D104</f>
        <v>4.8</v>
      </c>
      <c r="D104" s="2" t="n">
        <f aca="false">INDEX(Rank_Rules!$B$2:$B$9,MATCH(B104,Rank_Rules!$A$2:$A$9,0))</f>
        <v>3</v>
      </c>
      <c r="E104" s="2" t="n">
        <f aca="false">INDEX(Rank_Rules!$C$2:$C$9,MATCH(B104,Rank_Rules!$A$2:$A$9,0))</f>
        <v>5</v>
      </c>
      <c r="F104" s="2" t="str">
        <f aca="false">IF(AND(C104&gt;=D104,C104&lt;=E104),"OK","MISMATCH")</f>
        <v>OK</v>
      </c>
      <c r="G104" s="6" t="n">
        <f aca="false">Person_Data!H104</f>
        <v>48.1</v>
      </c>
      <c r="H104" s="2" t="str">
        <f aca="false">IF(G104&gt;=65,"HIGH",IF(G104&gt;=50,"MEDIUM","LOW"))</f>
        <v>LOW</v>
      </c>
    </row>
    <row r="105" customFormat="false" ht="15" hidden="false" customHeight="false" outlineLevel="0" collapsed="false">
      <c r="A105" s="2" t="str">
        <f aca="false">Person_Data!A105</f>
        <v>G08482</v>
      </c>
      <c r="B105" s="2" t="str">
        <f aca="false">Person_Data!C105</f>
        <v>Senior Warrant Officer</v>
      </c>
      <c r="C105" s="5" t="n">
        <f aca="false">Person_Data!D105</f>
        <v>18.48</v>
      </c>
      <c r="D105" s="2" t="n">
        <f aca="false">INDEX(Rank_Rules!$B$2:$B$9,MATCH(B105,Rank_Rules!$A$2:$A$9,0))</f>
        <v>5</v>
      </c>
      <c r="E105" s="2" t="n">
        <f aca="false">INDEX(Rank_Rules!$C$2:$C$9,MATCH(B105,Rank_Rules!$A$2:$A$9,0))</f>
        <v>20</v>
      </c>
      <c r="F105" s="2" t="str">
        <f aca="false">IF(AND(C105&gt;=D105,C105&lt;=E105),"OK","MISMATCH")</f>
        <v>OK</v>
      </c>
      <c r="G105" s="6" t="n">
        <f aca="false">Person_Data!H105</f>
        <v>48.1</v>
      </c>
      <c r="H105" s="2" t="str">
        <f aca="false">IF(G105&gt;=65,"HIGH",IF(G105&gt;=50,"MEDIUM","LOW"))</f>
        <v>LOW</v>
      </c>
    </row>
    <row r="106" customFormat="false" ht="15" hidden="false" customHeight="false" outlineLevel="0" collapsed="false">
      <c r="A106" s="2" t="str">
        <f aca="false">Person_Data!A106</f>
        <v>G25255</v>
      </c>
      <c r="B106" s="2" t="str">
        <f aca="false">Person_Data!C106</f>
        <v>Junior Warrant Officer</v>
      </c>
      <c r="C106" s="5" t="n">
        <f aca="false">Person_Data!D106</f>
        <v>1.21</v>
      </c>
      <c r="D106" s="2" t="n">
        <f aca="false">INDEX(Rank_Rules!$B$2:$B$9,MATCH(B106,Rank_Rules!$A$2:$A$9,0))</f>
        <v>1</v>
      </c>
      <c r="E106" s="2" t="n">
        <f aca="false">INDEX(Rank_Rules!$C$2:$C$9,MATCH(B106,Rank_Rules!$A$2:$A$9,0))</f>
        <v>3</v>
      </c>
      <c r="F106" s="2" t="str">
        <f aca="false">IF(AND(C106&gt;=D106,C106&lt;=E106),"OK","MISMATCH")</f>
        <v>OK</v>
      </c>
      <c r="G106" s="6" t="n">
        <f aca="false">Person_Data!H106</f>
        <v>55</v>
      </c>
      <c r="H106" s="2" t="str">
        <f aca="false">IF(G106&gt;=65,"HIGH",IF(G106&gt;=50,"MEDIUM","LOW"))</f>
        <v>MEDIUM</v>
      </c>
    </row>
    <row r="107" customFormat="false" ht="15" hidden="false" customHeight="false" outlineLevel="0" collapsed="false">
      <c r="A107" s="2" t="str">
        <f aca="false">Person_Data!A107</f>
        <v>AO97199</v>
      </c>
      <c r="B107" s="2" t="str">
        <f aca="false">Person_Data!C107</f>
        <v>Lieutenant Colonel</v>
      </c>
      <c r="C107" s="5" t="n">
        <f aca="false">Person_Data!D107</f>
        <v>28.65</v>
      </c>
      <c r="D107" s="2" t="n">
        <f aca="false">INDEX(Rank_Rules!$B$2:$B$9,MATCH(B107,Rank_Rules!$A$2:$A$9,0))</f>
        <v>15</v>
      </c>
      <c r="E107" s="2" t="n">
        <f aca="false">INDEX(Rank_Rules!$C$2:$C$9,MATCH(B107,Rank_Rules!$A$2:$A$9,0))</f>
        <v>30</v>
      </c>
      <c r="F107" s="2" t="str">
        <f aca="false">IF(AND(C107&gt;=D107,C107&lt;=E107),"OK","MISMATCH")</f>
        <v>OK</v>
      </c>
      <c r="G107" s="6" t="n">
        <f aca="false">Person_Data!H107</f>
        <v>53.4</v>
      </c>
      <c r="H107" s="2" t="str">
        <f aca="false">IF(G107&gt;=65,"HIGH",IF(G107&gt;=50,"MEDIUM","LOW"))</f>
        <v>MEDIUM</v>
      </c>
    </row>
    <row r="108" customFormat="false" ht="15" hidden="false" customHeight="false" outlineLevel="0" collapsed="false">
      <c r="A108" s="2" t="str">
        <f aca="false">Person_Data!A108</f>
        <v>AO16486</v>
      </c>
      <c r="B108" s="2" t="str">
        <f aca="false">Person_Data!C108</f>
        <v>Captain</v>
      </c>
      <c r="C108" s="5" t="n">
        <f aca="false">Person_Data!D108</f>
        <v>10.26</v>
      </c>
      <c r="D108" s="2" t="n">
        <f aca="false">INDEX(Rank_Rules!$B$2:$B$9,MATCH(B108,Rank_Rules!$A$2:$A$9,0))</f>
        <v>7</v>
      </c>
      <c r="E108" s="2" t="n">
        <f aca="false">INDEX(Rank_Rules!$C$2:$C$9,MATCH(B108,Rank_Rules!$A$2:$A$9,0))</f>
        <v>11</v>
      </c>
      <c r="F108" s="2" t="str">
        <f aca="false">IF(AND(C108&gt;=D108,C108&lt;=E108),"OK","MISMATCH")</f>
        <v>OK</v>
      </c>
      <c r="G108" s="6" t="n">
        <f aca="false">Person_Data!H108</f>
        <v>42.9</v>
      </c>
      <c r="H108" s="2" t="str">
        <f aca="false">IF(G108&gt;=65,"HIGH",IF(G108&gt;=50,"MEDIUM","LOW"))</f>
        <v>LOW</v>
      </c>
    </row>
    <row r="109" customFormat="false" ht="15" hidden="false" customHeight="false" outlineLevel="0" collapsed="false">
      <c r="A109" s="2" t="str">
        <f aca="false">Person_Data!A109</f>
        <v>AO12560</v>
      </c>
      <c r="B109" s="2" t="str">
        <f aca="false">Person_Data!C109</f>
        <v>Major</v>
      </c>
      <c r="C109" s="5" t="n">
        <f aca="false">Person_Data!D109</f>
        <v>13.82</v>
      </c>
      <c r="D109" s="2" t="n">
        <f aca="false">INDEX(Rank_Rules!$B$2:$B$9,MATCH(B109,Rank_Rules!$A$2:$A$9,0))</f>
        <v>12</v>
      </c>
      <c r="E109" s="2" t="n">
        <f aca="false">INDEX(Rank_Rules!$C$2:$C$9,MATCH(B109,Rank_Rules!$A$2:$A$9,0))</f>
        <v>15</v>
      </c>
      <c r="F109" s="2" t="str">
        <f aca="false">IF(AND(C109&gt;=D109,C109&lt;=E109),"OK","MISMATCH")</f>
        <v>OK</v>
      </c>
      <c r="G109" s="6" t="n">
        <f aca="false">Person_Data!H109</f>
        <v>61.4</v>
      </c>
      <c r="H109" s="2" t="str">
        <f aca="false">IF(G109&gt;=65,"HIGH",IF(G109&gt;=50,"MEDIUM","LOW"))</f>
        <v>MEDIUM</v>
      </c>
    </row>
    <row r="110" customFormat="false" ht="15" hidden="false" customHeight="false" outlineLevel="0" collapsed="false">
      <c r="A110" s="2" t="str">
        <f aca="false">Person_Data!A110</f>
        <v>G15848</v>
      </c>
      <c r="B110" s="2" t="str">
        <f aca="false">Person_Data!C110</f>
        <v>Senior Warrant Officer</v>
      </c>
      <c r="C110" s="5" t="n">
        <f aca="false">Person_Data!D110</f>
        <v>11.28</v>
      </c>
      <c r="D110" s="2" t="n">
        <f aca="false">INDEX(Rank_Rules!$B$2:$B$9,MATCH(B110,Rank_Rules!$A$2:$A$9,0))</f>
        <v>5</v>
      </c>
      <c r="E110" s="2" t="n">
        <f aca="false">INDEX(Rank_Rules!$C$2:$C$9,MATCH(B110,Rank_Rules!$A$2:$A$9,0))</f>
        <v>20</v>
      </c>
      <c r="F110" s="2" t="str">
        <f aca="false">IF(AND(C110&gt;=D110,C110&lt;=E110),"OK","MISMATCH")</f>
        <v>OK</v>
      </c>
      <c r="G110" s="6" t="n">
        <f aca="false">Person_Data!H110</f>
        <v>48.1</v>
      </c>
      <c r="H110" s="2" t="str">
        <f aca="false">IF(G110&gt;=65,"HIGH",IF(G110&gt;=50,"MEDIUM","LOW"))</f>
        <v>LOW</v>
      </c>
    </row>
    <row r="111" customFormat="false" ht="15" hidden="false" customHeight="false" outlineLevel="0" collapsed="false">
      <c r="A111" s="2" t="str">
        <f aca="false">Person_Data!A111</f>
        <v>AO13826</v>
      </c>
      <c r="B111" s="2" t="str">
        <f aca="false">Person_Data!C111</f>
        <v>Major</v>
      </c>
      <c r="C111" s="5" t="n">
        <f aca="false">Person_Data!D111</f>
        <v>12.74</v>
      </c>
      <c r="D111" s="2" t="n">
        <f aca="false">INDEX(Rank_Rules!$B$2:$B$9,MATCH(B111,Rank_Rules!$A$2:$A$9,0))</f>
        <v>12</v>
      </c>
      <c r="E111" s="2" t="n">
        <f aca="false">INDEX(Rank_Rules!$C$2:$C$9,MATCH(B111,Rank_Rules!$A$2:$A$9,0))</f>
        <v>15</v>
      </c>
      <c r="F111" s="2" t="str">
        <f aca="false">IF(AND(C111&gt;=D111,C111&lt;=E111),"OK","MISMATCH")</f>
        <v>OK</v>
      </c>
      <c r="G111" s="6" t="n">
        <f aca="false">Person_Data!H111</f>
        <v>46.4</v>
      </c>
      <c r="H111" s="2" t="str">
        <f aca="false">IF(G111&gt;=65,"HIGH",IF(G111&gt;=50,"MEDIUM","LOW"))</f>
        <v>LOW</v>
      </c>
    </row>
    <row r="112" customFormat="false" ht="15" hidden="false" customHeight="false" outlineLevel="0" collapsed="false">
      <c r="A112" s="2" t="str">
        <f aca="false">Person_Data!A112</f>
        <v>AO21460</v>
      </c>
      <c r="B112" s="2" t="str">
        <f aca="false">Person_Data!C112</f>
        <v>Senior Lieutenant</v>
      </c>
      <c r="C112" s="5" t="n">
        <f aca="false">Person_Data!D112</f>
        <v>4.69</v>
      </c>
      <c r="D112" s="2" t="n">
        <f aca="false">INDEX(Rank_Rules!$B$2:$B$9,MATCH(B112,Rank_Rules!$A$2:$A$9,0))</f>
        <v>4</v>
      </c>
      <c r="E112" s="2" t="n">
        <f aca="false">INDEX(Rank_Rules!$C$2:$C$9,MATCH(B112,Rank_Rules!$A$2:$A$9,0))</f>
        <v>6</v>
      </c>
      <c r="F112" s="2" t="str">
        <f aca="false">IF(AND(C112&gt;=D112,C112&lt;=E112),"OK","MISMATCH")</f>
        <v>OK</v>
      </c>
      <c r="G112" s="6" t="n">
        <f aca="false">Person_Data!H112</f>
        <v>62.4</v>
      </c>
      <c r="H112" s="2" t="str">
        <f aca="false">IF(G112&gt;=65,"HIGH",IF(G112&gt;=50,"MEDIUM","LOW"))</f>
        <v>MEDIUM</v>
      </c>
    </row>
    <row r="113" customFormat="false" ht="15" hidden="false" customHeight="false" outlineLevel="0" collapsed="false">
      <c r="A113" s="2" t="str">
        <f aca="false">Person_Data!A113</f>
        <v>AO18804</v>
      </c>
      <c r="B113" s="2" t="str">
        <f aca="false">Person_Data!C113</f>
        <v>Captain</v>
      </c>
      <c r="C113" s="5" t="n">
        <f aca="false">Person_Data!D113</f>
        <v>7.55</v>
      </c>
      <c r="D113" s="2" t="n">
        <f aca="false">INDEX(Rank_Rules!$B$2:$B$9,MATCH(B113,Rank_Rules!$A$2:$A$9,0))</f>
        <v>7</v>
      </c>
      <c r="E113" s="2" t="n">
        <f aca="false">INDEX(Rank_Rules!$C$2:$C$9,MATCH(B113,Rank_Rules!$A$2:$A$9,0))</f>
        <v>11</v>
      </c>
      <c r="F113" s="2" t="str">
        <f aca="false">IF(AND(C113&gt;=D113,C113&lt;=E113),"OK","MISMATCH")</f>
        <v>OK</v>
      </c>
      <c r="G113" s="6" t="n">
        <f aca="false">Person_Data!H113</f>
        <v>19.5</v>
      </c>
      <c r="H113" s="2" t="str">
        <f aca="false">IF(G113&gt;=65,"HIGH",IF(G113&gt;=50,"MEDIUM","LOW"))</f>
        <v>LOW</v>
      </c>
    </row>
    <row r="114" customFormat="false" ht="15" hidden="false" customHeight="false" outlineLevel="0" collapsed="false">
      <c r="A114" s="2" t="str">
        <f aca="false">Person_Data!A114</f>
        <v>AO17999</v>
      </c>
      <c r="B114" s="2" t="str">
        <f aca="false">Person_Data!C114</f>
        <v>Captain</v>
      </c>
      <c r="C114" s="5" t="n">
        <f aca="false">Person_Data!D114</f>
        <v>9.05</v>
      </c>
      <c r="D114" s="2" t="n">
        <f aca="false">INDEX(Rank_Rules!$B$2:$B$9,MATCH(B114,Rank_Rules!$A$2:$A$9,0))</f>
        <v>7</v>
      </c>
      <c r="E114" s="2" t="n">
        <f aca="false">INDEX(Rank_Rules!$C$2:$C$9,MATCH(B114,Rank_Rules!$A$2:$A$9,0))</f>
        <v>11</v>
      </c>
      <c r="F114" s="2" t="str">
        <f aca="false">IF(AND(C114&gt;=D114,C114&lt;=E114),"OK","MISMATCH")</f>
        <v>OK</v>
      </c>
      <c r="G114" s="6" t="n">
        <f aca="false">Person_Data!H114</f>
        <v>69.3</v>
      </c>
      <c r="H114" s="2" t="str">
        <f aca="false">IF(G114&gt;=65,"HIGH",IF(G114&gt;=50,"MEDIUM","LOW"))</f>
        <v>HIGH</v>
      </c>
    </row>
    <row r="115" customFormat="false" ht="15" hidden="false" customHeight="false" outlineLevel="0" collapsed="false">
      <c r="A115" s="2" t="str">
        <f aca="false">Person_Data!A115</f>
        <v>AO21945</v>
      </c>
      <c r="B115" s="2" t="str">
        <f aca="false">Person_Data!C115</f>
        <v>Senior Lieutenant</v>
      </c>
      <c r="C115" s="5" t="n">
        <f aca="false">Person_Data!D115</f>
        <v>4.63</v>
      </c>
      <c r="D115" s="2" t="n">
        <f aca="false">INDEX(Rank_Rules!$B$2:$B$9,MATCH(B115,Rank_Rules!$A$2:$A$9,0))</f>
        <v>4</v>
      </c>
      <c r="E115" s="2" t="n">
        <f aca="false">INDEX(Rank_Rules!$C$2:$C$9,MATCH(B115,Rank_Rules!$A$2:$A$9,0))</f>
        <v>6</v>
      </c>
      <c r="F115" s="2" t="str">
        <f aca="false">IF(AND(C115&gt;=D115,C115&lt;=E115),"OK","MISMATCH")</f>
        <v>OK</v>
      </c>
      <c r="G115" s="6" t="n">
        <f aca="false">Person_Data!H115</f>
        <v>36.8</v>
      </c>
      <c r="H115" s="2" t="str">
        <f aca="false">IF(G115&gt;=65,"HIGH",IF(G115&gt;=50,"MEDIUM","LOW"))</f>
        <v>LOW</v>
      </c>
    </row>
    <row r="116" customFormat="false" ht="15" hidden="false" customHeight="false" outlineLevel="0" collapsed="false">
      <c r="A116" s="2" t="str">
        <f aca="false">Person_Data!A116</f>
        <v>AO22715</v>
      </c>
      <c r="B116" s="2" t="str">
        <f aca="false">Person_Data!C116</f>
        <v>Senior Lieutenant</v>
      </c>
      <c r="C116" s="5" t="n">
        <f aca="false">Person_Data!D116</f>
        <v>4.43</v>
      </c>
      <c r="D116" s="2" t="n">
        <f aca="false">INDEX(Rank_Rules!$B$2:$B$9,MATCH(B116,Rank_Rules!$A$2:$A$9,0))</f>
        <v>4</v>
      </c>
      <c r="E116" s="2" t="n">
        <f aca="false">INDEX(Rank_Rules!$C$2:$C$9,MATCH(B116,Rank_Rules!$A$2:$A$9,0))</f>
        <v>6</v>
      </c>
      <c r="F116" s="2" t="str">
        <f aca="false">IF(AND(C116&gt;=D116,C116&lt;=E116),"OK","MISMATCH")</f>
        <v>OK</v>
      </c>
      <c r="G116" s="6" t="n">
        <f aca="false">Person_Data!H116</f>
        <v>34.9</v>
      </c>
      <c r="H116" s="2" t="str">
        <f aca="false">IF(G116&gt;=65,"HIGH",IF(G116&gt;=50,"MEDIUM","LOW"))</f>
        <v>LOW</v>
      </c>
    </row>
    <row r="117" customFormat="false" ht="15" hidden="false" customHeight="false" outlineLevel="0" collapsed="false">
      <c r="A117" s="2" t="str">
        <f aca="false">Person_Data!A117</f>
        <v>AO16664</v>
      </c>
      <c r="B117" s="2" t="str">
        <f aca="false">Person_Data!C117</f>
        <v>Captain</v>
      </c>
      <c r="C117" s="5" t="n">
        <f aca="false">Person_Data!D117</f>
        <v>9.75</v>
      </c>
      <c r="D117" s="2" t="n">
        <f aca="false">INDEX(Rank_Rules!$B$2:$B$9,MATCH(B117,Rank_Rules!$A$2:$A$9,0))</f>
        <v>7</v>
      </c>
      <c r="E117" s="2" t="n">
        <f aca="false">INDEX(Rank_Rules!$C$2:$C$9,MATCH(B117,Rank_Rules!$A$2:$A$9,0))</f>
        <v>11</v>
      </c>
      <c r="F117" s="2" t="str">
        <f aca="false">IF(AND(C117&gt;=D117,C117&lt;=E117),"OK","MISMATCH")</f>
        <v>OK</v>
      </c>
      <c r="G117" s="6" t="n">
        <f aca="false">Person_Data!H117</f>
        <v>64.8</v>
      </c>
      <c r="H117" s="2" t="str">
        <f aca="false">IF(G117&gt;=65,"HIGH",IF(G117&gt;=50,"MEDIUM","LOW"))</f>
        <v>MEDIUM</v>
      </c>
    </row>
    <row r="118" customFormat="false" ht="15" hidden="false" customHeight="false" outlineLevel="0" collapsed="false">
      <c r="A118" s="2" t="str">
        <f aca="false">Person_Data!A118</f>
        <v>AO24322</v>
      </c>
      <c r="B118" s="2" t="str">
        <f aca="false">Person_Data!C118</f>
        <v>Lieutenant</v>
      </c>
      <c r="C118" s="5" t="n">
        <f aca="false">Person_Data!D118</f>
        <v>2.42</v>
      </c>
      <c r="D118" s="2" t="n">
        <f aca="false">INDEX(Rank_Rules!$B$2:$B$9,MATCH(B118,Rank_Rules!$A$2:$A$9,0))</f>
        <v>1</v>
      </c>
      <c r="E118" s="2" t="n">
        <f aca="false">INDEX(Rank_Rules!$C$2:$C$9,MATCH(B118,Rank_Rules!$A$2:$A$9,0))</f>
        <v>3</v>
      </c>
      <c r="F118" s="2" t="str">
        <f aca="false">IF(AND(C118&gt;=D118,C118&lt;=E118),"OK","MISMATCH")</f>
        <v>OK</v>
      </c>
      <c r="G118" s="6" t="n">
        <f aca="false">Person_Data!H118</f>
        <v>36.5</v>
      </c>
      <c r="H118" s="2" t="str">
        <f aca="false">IF(G118&gt;=65,"HIGH",IF(G118&gt;=50,"MEDIUM","LOW"))</f>
        <v>LOW</v>
      </c>
    </row>
    <row r="119" customFormat="false" ht="15" hidden="false" customHeight="false" outlineLevel="0" collapsed="false">
      <c r="A119" s="2" t="str">
        <f aca="false">Person_Data!A119</f>
        <v>AO24715</v>
      </c>
      <c r="B119" s="2" t="str">
        <f aca="false">Person_Data!C119</f>
        <v>Lieutenant</v>
      </c>
      <c r="C119" s="5" t="n">
        <f aca="false">Person_Data!D119</f>
        <v>2.08</v>
      </c>
      <c r="D119" s="2" t="n">
        <f aca="false">INDEX(Rank_Rules!$B$2:$B$9,MATCH(B119,Rank_Rules!$A$2:$A$9,0))</f>
        <v>1</v>
      </c>
      <c r="E119" s="2" t="n">
        <f aca="false">INDEX(Rank_Rules!$C$2:$C$9,MATCH(B119,Rank_Rules!$A$2:$A$9,0))</f>
        <v>3</v>
      </c>
      <c r="F119" s="2" t="str">
        <f aca="false">IF(AND(C119&gt;=D119,C119&lt;=E119),"OK","MISMATCH")</f>
        <v>OK</v>
      </c>
      <c r="G119" s="6" t="n">
        <f aca="false">Person_Data!H119</f>
        <v>37.1</v>
      </c>
      <c r="H119" s="2" t="str">
        <f aca="false">IF(G119&gt;=65,"HIGH",IF(G119&gt;=50,"MEDIUM","LOW"))</f>
        <v>LOW</v>
      </c>
    </row>
    <row r="120" customFormat="false" ht="15" hidden="false" customHeight="false" outlineLevel="0" collapsed="false">
      <c r="A120" s="2" t="str">
        <f aca="false">Person_Data!A120</f>
        <v>AO16557</v>
      </c>
      <c r="B120" s="2" t="str">
        <f aca="false">Person_Data!C120</f>
        <v>Captain</v>
      </c>
      <c r="C120" s="5" t="n">
        <f aca="false">Person_Data!D120</f>
        <v>10.04</v>
      </c>
      <c r="D120" s="2" t="n">
        <f aca="false">INDEX(Rank_Rules!$B$2:$B$9,MATCH(B120,Rank_Rules!$A$2:$A$9,0))</f>
        <v>7</v>
      </c>
      <c r="E120" s="2" t="n">
        <f aca="false">INDEX(Rank_Rules!$C$2:$C$9,MATCH(B120,Rank_Rules!$A$2:$A$9,0))</f>
        <v>11</v>
      </c>
      <c r="F120" s="2" t="str">
        <f aca="false">IF(AND(C120&gt;=D120,C120&lt;=E120),"OK","MISMATCH")</f>
        <v>OK</v>
      </c>
      <c r="G120" s="6" t="n">
        <f aca="false">Person_Data!H120</f>
        <v>48.1</v>
      </c>
      <c r="H120" s="2" t="str">
        <f aca="false">IF(G120&gt;=65,"HIGH",IF(G120&gt;=50,"MEDIUM","LOW"))</f>
        <v>LOW</v>
      </c>
    </row>
    <row r="121" customFormat="false" ht="15" hidden="false" customHeight="false" outlineLevel="0" collapsed="false">
      <c r="A121" s="2" t="str">
        <f aca="false">Person_Data!A121</f>
        <v>AO20423</v>
      </c>
      <c r="B121" s="2" t="str">
        <f aca="false">Person_Data!C121</f>
        <v>Senior Lieutenant</v>
      </c>
      <c r="C121" s="5" t="n">
        <f aca="false">Person_Data!D121</f>
        <v>5.89</v>
      </c>
      <c r="D121" s="2" t="n">
        <f aca="false">INDEX(Rank_Rules!$B$2:$B$9,MATCH(B121,Rank_Rules!$A$2:$A$9,0))</f>
        <v>4</v>
      </c>
      <c r="E121" s="2" t="n">
        <f aca="false">INDEX(Rank_Rules!$C$2:$C$9,MATCH(B121,Rank_Rules!$A$2:$A$9,0))</f>
        <v>6</v>
      </c>
      <c r="F121" s="2" t="str">
        <f aca="false">IF(AND(C121&gt;=D121,C121&lt;=E121),"OK","MISMATCH")</f>
        <v>OK</v>
      </c>
      <c r="G121" s="6" t="n">
        <f aca="false">Person_Data!H121</f>
        <v>41.9</v>
      </c>
      <c r="H121" s="2" t="str">
        <f aca="false">IF(G121&gt;=65,"HIGH",IF(G121&gt;=50,"MEDIUM","LOW"))</f>
        <v>LOW</v>
      </c>
    </row>
    <row r="122" customFormat="false" ht="15" hidden="false" customHeight="false" outlineLevel="0" collapsed="false">
      <c r="A122" s="2" t="str">
        <f aca="false">Person_Data!A122</f>
        <v>AO15870</v>
      </c>
      <c r="B122" s="2" t="str">
        <f aca="false">Person_Data!C122</f>
        <v>Captain</v>
      </c>
      <c r="C122" s="5" t="n">
        <f aca="false">Person_Data!D122</f>
        <v>10.58</v>
      </c>
      <c r="D122" s="2" t="n">
        <f aca="false">INDEX(Rank_Rules!$B$2:$B$9,MATCH(B122,Rank_Rules!$A$2:$A$9,0))</f>
        <v>7</v>
      </c>
      <c r="E122" s="2" t="n">
        <f aca="false">INDEX(Rank_Rules!$C$2:$C$9,MATCH(B122,Rank_Rules!$A$2:$A$9,0))</f>
        <v>11</v>
      </c>
      <c r="F122" s="2" t="str">
        <f aca="false">IF(AND(C122&gt;=D122,C122&lt;=E122),"OK","MISMATCH")</f>
        <v>OK</v>
      </c>
      <c r="G122" s="6" t="n">
        <f aca="false">Person_Data!H122</f>
        <v>68</v>
      </c>
      <c r="H122" s="2" t="str">
        <f aca="false">IF(G122&gt;=65,"HIGH",IF(G122&gt;=50,"MEDIUM","LOW"))</f>
        <v>HIGH</v>
      </c>
    </row>
    <row r="123" customFormat="false" ht="15" hidden="false" customHeight="false" outlineLevel="0" collapsed="false">
      <c r="A123" s="2" t="str">
        <f aca="false">Person_Data!A123</f>
        <v>AO17162</v>
      </c>
      <c r="B123" s="2" t="str">
        <f aca="false">Person_Data!C123</f>
        <v>Captain</v>
      </c>
      <c r="C123" s="5" t="n">
        <f aca="false">Person_Data!D123</f>
        <v>8.69</v>
      </c>
      <c r="D123" s="2" t="n">
        <f aca="false">INDEX(Rank_Rules!$B$2:$B$9,MATCH(B123,Rank_Rules!$A$2:$A$9,0))</f>
        <v>7</v>
      </c>
      <c r="E123" s="2" t="n">
        <f aca="false">INDEX(Rank_Rules!$C$2:$C$9,MATCH(B123,Rank_Rules!$A$2:$A$9,0))</f>
        <v>11</v>
      </c>
      <c r="F123" s="2" t="str">
        <f aca="false">IF(AND(C123&gt;=D123,C123&lt;=E123),"OK","MISMATCH")</f>
        <v>OK</v>
      </c>
      <c r="G123" s="6" t="n">
        <f aca="false">Person_Data!H123</f>
        <v>62.8</v>
      </c>
      <c r="H123" s="2" t="str">
        <f aca="false">IF(G123&gt;=65,"HIGH",IF(G123&gt;=50,"MEDIUM","LOW"))</f>
        <v>MEDIUM</v>
      </c>
    </row>
    <row r="124" customFormat="false" ht="15" hidden="false" customHeight="false" outlineLevel="0" collapsed="false">
      <c r="A124" s="2" t="str">
        <f aca="false">Person_Data!A124</f>
        <v>AO24225</v>
      </c>
      <c r="B124" s="2" t="str">
        <f aca="false">Person_Data!C124</f>
        <v>Lieutenant</v>
      </c>
      <c r="C124" s="5" t="n">
        <f aca="false">Person_Data!D124</f>
        <v>1.76</v>
      </c>
      <c r="D124" s="2" t="n">
        <f aca="false">INDEX(Rank_Rules!$B$2:$B$9,MATCH(B124,Rank_Rules!$A$2:$A$9,0))</f>
        <v>1</v>
      </c>
      <c r="E124" s="2" t="n">
        <f aca="false">INDEX(Rank_Rules!$C$2:$C$9,MATCH(B124,Rank_Rules!$A$2:$A$9,0))</f>
        <v>3</v>
      </c>
      <c r="F124" s="2" t="str">
        <f aca="false">IF(AND(C124&gt;=D124,C124&lt;=E124),"OK","MISMATCH")</f>
        <v>OK</v>
      </c>
      <c r="G124" s="6" t="n">
        <f aca="false">Person_Data!H124</f>
        <v>16.7</v>
      </c>
      <c r="H124" s="2" t="str">
        <f aca="false">IF(G124&gt;=65,"HIGH",IF(G124&gt;=50,"MEDIUM","LOW"))</f>
        <v>LOW</v>
      </c>
    </row>
    <row r="125" customFormat="false" ht="15" hidden="false" customHeight="false" outlineLevel="0" collapsed="false">
      <c r="A125" s="2" t="str">
        <f aca="false">Person_Data!A125</f>
        <v>AO24481</v>
      </c>
      <c r="B125" s="2" t="str">
        <f aca="false">Person_Data!C125</f>
        <v>Lieutenant</v>
      </c>
      <c r="C125" s="5" t="n">
        <f aca="false">Person_Data!D125</f>
        <v>1.53</v>
      </c>
      <c r="D125" s="2" t="n">
        <f aca="false">INDEX(Rank_Rules!$B$2:$B$9,MATCH(B125,Rank_Rules!$A$2:$A$9,0))</f>
        <v>1</v>
      </c>
      <c r="E125" s="2" t="n">
        <f aca="false">INDEX(Rank_Rules!$C$2:$C$9,MATCH(B125,Rank_Rules!$A$2:$A$9,0))</f>
        <v>3</v>
      </c>
      <c r="F125" s="2" t="str">
        <f aca="false">IF(AND(C125&gt;=D125,C125&lt;=E125),"OK","MISMATCH")</f>
        <v>OK</v>
      </c>
      <c r="G125" s="6" t="n">
        <f aca="false">Person_Data!H125</f>
        <v>54.1</v>
      </c>
      <c r="H125" s="2" t="str">
        <f aca="false">IF(G125&gt;=65,"HIGH",IF(G125&gt;=50,"MEDIUM","LOW"))</f>
        <v>MEDIUM</v>
      </c>
    </row>
    <row r="126" customFormat="false" ht="15" hidden="false" customHeight="false" outlineLevel="0" collapsed="false">
      <c r="A126" s="2" t="str">
        <f aca="false">Person_Data!A126</f>
        <v>AO12508</v>
      </c>
      <c r="B126" s="2" t="str">
        <f aca="false">Person_Data!C126</f>
        <v>Major</v>
      </c>
      <c r="C126" s="5" t="n">
        <f aca="false">Person_Data!D126</f>
        <v>14.05</v>
      </c>
      <c r="D126" s="2" t="n">
        <f aca="false">INDEX(Rank_Rules!$B$2:$B$9,MATCH(B126,Rank_Rules!$A$2:$A$9,0))</f>
        <v>12</v>
      </c>
      <c r="E126" s="2" t="n">
        <f aca="false">INDEX(Rank_Rules!$C$2:$C$9,MATCH(B126,Rank_Rules!$A$2:$A$9,0))</f>
        <v>15</v>
      </c>
      <c r="F126" s="2" t="str">
        <f aca="false">IF(AND(C126&gt;=D126,C126&lt;=E126),"OK","MISMATCH")</f>
        <v>OK</v>
      </c>
      <c r="G126" s="6" t="n">
        <f aca="false">Person_Data!H126</f>
        <v>57.4</v>
      </c>
      <c r="H126" s="2" t="str">
        <f aca="false">IF(G126&gt;=65,"HIGH",IF(G126&gt;=50,"MEDIUM","LOW"))</f>
        <v>MEDIUM</v>
      </c>
    </row>
    <row r="127" customFormat="false" ht="15" hidden="false" customHeight="false" outlineLevel="0" collapsed="false">
      <c r="A127" s="2" t="str">
        <f aca="false">Person_Data!A127</f>
        <v>AO23007</v>
      </c>
      <c r="B127" s="2" t="str">
        <f aca="false">Person_Data!C127</f>
        <v>Lieutenant</v>
      </c>
      <c r="C127" s="5" t="n">
        <f aca="false">Person_Data!D127</f>
        <v>2.57</v>
      </c>
      <c r="D127" s="2" t="n">
        <f aca="false">INDEX(Rank_Rules!$B$2:$B$9,MATCH(B127,Rank_Rules!$A$2:$A$9,0))</f>
        <v>1</v>
      </c>
      <c r="E127" s="2" t="n">
        <f aca="false">INDEX(Rank_Rules!$C$2:$C$9,MATCH(B127,Rank_Rules!$A$2:$A$9,0))</f>
        <v>3</v>
      </c>
      <c r="F127" s="2" t="str">
        <f aca="false">IF(AND(C127&gt;=D127,C127&lt;=E127),"OK","MISMATCH")</f>
        <v>OK</v>
      </c>
      <c r="G127" s="6" t="n">
        <f aca="false">Person_Data!H127</f>
        <v>44.9</v>
      </c>
      <c r="H127" s="2" t="str">
        <f aca="false">IF(G127&gt;=65,"HIGH",IF(G127&gt;=50,"MEDIUM","LOW"))</f>
        <v>LOW</v>
      </c>
    </row>
    <row r="128" customFormat="false" ht="15" hidden="false" customHeight="false" outlineLevel="0" collapsed="false">
      <c r="A128" s="2" t="str">
        <f aca="false">Person_Data!A128</f>
        <v>AO21316</v>
      </c>
      <c r="B128" s="2" t="str">
        <f aca="false">Person_Data!C128</f>
        <v>Senior Lieutenant</v>
      </c>
      <c r="C128" s="5" t="n">
        <f aca="false">Person_Data!D128</f>
        <v>4.72</v>
      </c>
      <c r="D128" s="2" t="n">
        <f aca="false">INDEX(Rank_Rules!$B$2:$B$9,MATCH(B128,Rank_Rules!$A$2:$A$9,0))</f>
        <v>4</v>
      </c>
      <c r="E128" s="2" t="n">
        <f aca="false">INDEX(Rank_Rules!$C$2:$C$9,MATCH(B128,Rank_Rules!$A$2:$A$9,0))</f>
        <v>6</v>
      </c>
      <c r="F128" s="2" t="str">
        <f aca="false">IF(AND(C128&gt;=D128,C128&lt;=E128),"OK","MISMATCH")</f>
        <v>OK</v>
      </c>
      <c r="G128" s="6" t="n">
        <f aca="false">Person_Data!H128</f>
        <v>46.6</v>
      </c>
      <c r="H128" s="2" t="str">
        <f aca="false">IF(G128&gt;=65,"HIGH",IF(G128&gt;=50,"MEDIUM","LOW"))</f>
        <v>LOW</v>
      </c>
    </row>
    <row r="129" customFormat="false" ht="15" hidden="false" customHeight="false" outlineLevel="0" collapsed="false">
      <c r="A129" s="2" t="str">
        <f aca="false">Person_Data!A129</f>
        <v>AO21906</v>
      </c>
      <c r="B129" s="2" t="str">
        <f aca="false">Person_Data!C129</f>
        <v>Senior Lieutenant</v>
      </c>
      <c r="C129" s="5" t="n">
        <f aca="false">Person_Data!D129</f>
        <v>5.35</v>
      </c>
      <c r="D129" s="2" t="n">
        <f aca="false">INDEX(Rank_Rules!$B$2:$B$9,MATCH(B129,Rank_Rules!$A$2:$A$9,0))</f>
        <v>4</v>
      </c>
      <c r="E129" s="2" t="n">
        <f aca="false">INDEX(Rank_Rules!$C$2:$C$9,MATCH(B129,Rank_Rules!$A$2:$A$9,0))</f>
        <v>6</v>
      </c>
      <c r="F129" s="2" t="str">
        <f aca="false">IF(AND(C129&gt;=D129,C129&lt;=E129),"OK","MISMATCH")</f>
        <v>OK</v>
      </c>
      <c r="G129" s="6" t="n">
        <f aca="false">Person_Data!H129</f>
        <v>44.9</v>
      </c>
      <c r="H129" s="2" t="str">
        <f aca="false">IF(G129&gt;=65,"HIGH",IF(G129&gt;=50,"MEDIUM","LOW"))</f>
        <v>LOW</v>
      </c>
    </row>
    <row r="130" customFormat="false" ht="15" hidden="false" customHeight="false" outlineLevel="0" collapsed="false">
      <c r="A130" s="2" t="str">
        <f aca="false">Person_Data!A130</f>
        <v>AO24203</v>
      </c>
      <c r="B130" s="2" t="str">
        <f aca="false">Person_Data!C130</f>
        <v>Lieutenant</v>
      </c>
      <c r="C130" s="5" t="n">
        <f aca="false">Person_Data!D130</f>
        <v>2.29</v>
      </c>
      <c r="D130" s="2" t="n">
        <f aca="false">INDEX(Rank_Rules!$B$2:$B$9,MATCH(B130,Rank_Rules!$A$2:$A$9,0))</f>
        <v>1</v>
      </c>
      <c r="E130" s="2" t="n">
        <f aca="false">INDEX(Rank_Rules!$C$2:$C$9,MATCH(B130,Rank_Rules!$A$2:$A$9,0))</f>
        <v>3</v>
      </c>
      <c r="F130" s="2" t="str">
        <f aca="false">IF(AND(C130&gt;=D130,C130&lt;=E130),"OK","MISMATCH")</f>
        <v>OK</v>
      </c>
      <c r="G130" s="6" t="n">
        <f aca="false">Person_Data!H130</f>
        <v>45.3</v>
      </c>
      <c r="H130" s="2" t="str">
        <f aca="false">IF(G130&gt;=65,"HIGH",IF(G130&gt;=50,"MEDIUM","LOW"))</f>
        <v>LOW</v>
      </c>
    </row>
    <row r="131" customFormat="false" ht="15" hidden="false" customHeight="false" outlineLevel="0" collapsed="false">
      <c r="A131" s="2" t="str">
        <f aca="false">Person_Data!A131</f>
        <v>AO20690</v>
      </c>
      <c r="B131" s="2" t="str">
        <f aca="false">Person_Data!C131</f>
        <v>Senior Lieutenant</v>
      </c>
      <c r="C131" s="5" t="n">
        <f aca="false">Person_Data!D131</f>
        <v>5.59</v>
      </c>
      <c r="D131" s="2" t="n">
        <f aca="false">INDEX(Rank_Rules!$B$2:$B$9,MATCH(B131,Rank_Rules!$A$2:$A$9,0))</f>
        <v>4</v>
      </c>
      <c r="E131" s="2" t="n">
        <f aca="false">INDEX(Rank_Rules!$C$2:$C$9,MATCH(B131,Rank_Rules!$A$2:$A$9,0))</f>
        <v>6</v>
      </c>
      <c r="F131" s="2" t="str">
        <f aca="false">IF(AND(C131&gt;=D131,C131&lt;=E131),"OK","MISMATCH")</f>
        <v>OK</v>
      </c>
      <c r="G131" s="6" t="n">
        <f aca="false">Person_Data!H131</f>
        <v>46.6</v>
      </c>
      <c r="H131" s="2" t="str">
        <f aca="false">IF(G131&gt;=65,"HIGH",IF(G131&gt;=50,"MEDIUM","LOW"))</f>
        <v>LOW</v>
      </c>
    </row>
    <row r="132" customFormat="false" ht="15" hidden="false" customHeight="false" outlineLevel="0" collapsed="false">
      <c r="A132" s="2" t="str">
        <f aca="false">Person_Data!A132</f>
        <v>AO19316</v>
      </c>
      <c r="B132" s="2" t="str">
        <f aca="false">Person_Data!C132</f>
        <v>Captain</v>
      </c>
      <c r="C132" s="5" t="n">
        <f aca="false">Person_Data!D132</f>
        <v>7.19</v>
      </c>
      <c r="D132" s="2" t="n">
        <f aca="false">INDEX(Rank_Rules!$B$2:$B$9,MATCH(B132,Rank_Rules!$A$2:$A$9,0))</f>
        <v>7</v>
      </c>
      <c r="E132" s="2" t="n">
        <f aca="false">INDEX(Rank_Rules!$C$2:$C$9,MATCH(B132,Rank_Rules!$A$2:$A$9,0))</f>
        <v>11</v>
      </c>
      <c r="F132" s="2" t="str">
        <f aca="false">IF(AND(C132&gt;=D132,C132&lt;=E132),"OK","MISMATCH")</f>
        <v>OK</v>
      </c>
      <c r="G132" s="6" t="n">
        <f aca="false">Person_Data!H132</f>
        <v>48.7</v>
      </c>
      <c r="H132" s="2" t="str">
        <f aca="false">IF(G132&gt;=65,"HIGH",IF(G132&gt;=50,"MEDIUM","LOW"))</f>
        <v>LOW</v>
      </c>
    </row>
    <row r="133" customFormat="false" ht="15" hidden="false" customHeight="false" outlineLevel="0" collapsed="false">
      <c r="A133" s="2" t="str">
        <f aca="false">Person_Data!A133</f>
        <v>AO20211</v>
      </c>
      <c r="B133" s="2" t="str">
        <f aca="false">Person_Data!C133</f>
        <v>Senior Lieutenant</v>
      </c>
      <c r="C133" s="5" t="n">
        <f aca="false">Person_Data!D133</f>
        <v>5.58</v>
      </c>
      <c r="D133" s="2" t="n">
        <f aca="false">INDEX(Rank_Rules!$B$2:$B$9,MATCH(B133,Rank_Rules!$A$2:$A$9,0))</f>
        <v>4</v>
      </c>
      <c r="E133" s="2" t="n">
        <f aca="false">INDEX(Rank_Rules!$C$2:$C$9,MATCH(B133,Rank_Rules!$A$2:$A$9,0))</f>
        <v>6</v>
      </c>
      <c r="F133" s="2" t="str">
        <f aca="false">IF(AND(C133&gt;=D133,C133&lt;=E133),"OK","MISMATCH")</f>
        <v>OK</v>
      </c>
      <c r="G133" s="6" t="n">
        <f aca="false">Person_Data!H133</f>
        <v>50</v>
      </c>
      <c r="H133" s="2" t="str">
        <f aca="false">IF(G133&gt;=65,"HIGH",IF(G133&gt;=50,"MEDIUM","LOW"))</f>
        <v>MEDIUM</v>
      </c>
    </row>
    <row r="134" customFormat="false" ht="15" hidden="false" customHeight="false" outlineLevel="0" collapsed="false">
      <c r="A134" s="2" t="str">
        <f aca="false">Person_Data!A134</f>
        <v>AO14299</v>
      </c>
      <c r="B134" s="2" t="str">
        <f aca="false">Person_Data!C134</f>
        <v>Major</v>
      </c>
      <c r="C134" s="5" t="n">
        <f aca="false">Person_Data!D134</f>
        <v>12.16</v>
      </c>
      <c r="D134" s="2" t="n">
        <f aca="false">INDEX(Rank_Rules!$B$2:$B$9,MATCH(B134,Rank_Rules!$A$2:$A$9,0))</f>
        <v>12</v>
      </c>
      <c r="E134" s="2" t="n">
        <f aca="false">INDEX(Rank_Rules!$C$2:$C$9,MATCH(B134,Rank_Rules!$A$2:$A$9,0))</f>
        <v>15</v>
      </c>
      <c r="F134" s="2" t="str">
        <f aca="false">IF(AND(C134&gt;=D134,C134&lt;=E134),"OK","MISMATCH")</f>
        <v>OK</v>
      </c>
      <c r="G134" s="6" t="n">
        <f aca="false">Person_Data!H134</f>
        <v>50.8</v>
      </c>
      <c r="H134" s="2" t="str">
        <f aca="false">IF(G134&gt;=65,"HIGH",IF(G134&gt;=50,"MEDIUM","LOW"))</f>
        <v>MEDIUM</v>
      </c>
    </row>
    <row r="135" customFormat="false" ht="15" hidden="false" customHeight="false" outlineLevel="0" collapsed="false">
      <c r="A135" s="2" t="str">
        <f aca="false">Person_Data!A135</f>
        <v>AO23728</v>
      </c>
      <c r="B135" s="2" t="str">
        <f aca="false">Person_Data!C135</f>
        <v>Lieutenant</v>
      </c>
      <c r="C135" s="5" t="n">
        <f aca="false">Person_Data!D135</f>
        <v>2.74</v>
      </c>
      <c r="D135" s="2" t="n">
        <f aca="false">INDEX(Rank_Rules!$B$2:$B$9,MATCH(B135,Rank_Rules!$A$2:$A$9,0))</f>
        <v>1</v>
      </c>
      <c r="E135" s="2" t="n">
        <f aca="false">INDEX(Rank_Rules!$C$2:$C$9,MATCH(B135,Rank_Rules!$A$2:$A$9,0))</f>
        <v>3</v>
      </c>
      <c r="F135" s="2" t="str">
        <f aca="false">IF(AND(C135&gt;=D135,C135&lt;=E135),"OK","MISMATCH")</f>
        <v>OK</v>
      </c>
      <c r="G135" s="6" t="n">
        <f aca="false">Person_Data!H135</f>
        <v>29</v>
      </c>
      <c r="H135" s="2" t="str">
        <f aca="false">IF(G135&gt;=65,"HIGH",IF(G135&gt;=50,"MEDIUM","LOW"))</f>
        <v>LOW</v>
      </c>
    </row>
    <row r="136" customFormat="false" ht="15" hidden="false" customHeight="false" outlineLevel="0" collapsed="false">
      <c r="A136" s="2" t="str">
        <f aca="false">Person_Data!A136</f>
        <v>AO22709</v>
      </c>
      <c r="B136" s="2" t="str">
        <f aca="false">Person_Data!C136</f>
        <v>Senior Lieutenant</v>
      </c>
      <c r="C136" s="5" t="n">
        <f aca="false">Person_Data!D136</f>
        <v>4.45</v>
      </c>
      <c r="D136" s="2" t="n">
        <f aca="false">INDEX(Rank_Rules!$B$2:$B$9,MATCH(B136,Rank_Rules!$A$2:$A$9,0))</f>
        <v>4</v>
      </c>
      <c r="E136" s="2" t="n">
        <f aca="false">INDEX(Rank_Rules!$C$2:$C$9,MATCH(B136,Rank_Rules!$A$2:$A$9,0))</f>
        <v>6</v>
      </c>
      <c r="F136" s="2" t="str">
        <f aca="false">IF(AND(C136&gt;=D136,C136&lt;=E136),"OK","MISMATCH")</f>
        <v>OK</v>
      </c>
      <c r="G136" s="6" t="n">
        <f aca="false">Person_Data!H136</f>
        <v>87.5</v>
      </c>
      <c r="H136" s="2" t="str">
        <f aca="false">IF(G136&gt;=65,"HIGH",IF(G136&gt;=50,"MEDIUM","LOW"))</f>
        <v>HIGH</v>
      </c>
    </row>
    <row r="137" customFormat="false" ht="15" hidden="false" customHeight="false" outlineLevel="0" collapsed="false">
      <c r="A137" s="2" t="str">
        <f aca="false">Person_Data!A137</f>
        <v>AO18592</v>
      </c>
      <c r="B137" s="2" t="str">
        <f aca="false">Person_Data!C137</f>
        <v>Captain</v>
      </c>
      <c r="C137" s="5" t="n">
        <f aca="false">Person_Data!D137</f>
        <v>8.47</v>
      </c>
      <c r="D137" s="2" t="n">
        <f aca="false">INDEX(Rank_Rules!$B$2:$B$9,MATCH(B137,Rank_Rules!$A$2:$A$9,0))</f>
        <v>7</v>
      </c>
      <c r="E137" s="2" t="n">
        <f aca="false">INDEX(Rank_Rules!$C$2:$C$9,MATCH(B137,Rank_Rules!$A$2:$A$9,0))</f>
        <v>11</v>
      </c>
      <c r="F137" s="2" t="str">
        <f aca="false">IF(AND(C137&gt;=D137,C137&lt;=E137),"OK","MISMATCH")</f>
        <v>OK</v>
      </c>
      <c r="G137" s="6" t="n">
        <f aca="false">Person_Data!H137</f>
        <v>85</v>
      </c>
      <c r="H137" s="2" t="str">
        <f aca="false">IF(G137&gt;=65,"HIGH",IF(G137&gt;=50,"MEDIUM","LOW"))</f>
        <v>HIGH</v>
      </c>
    </row>
    <row r="138" customFormat="false" ht="15" hidden="false" customHeight="false" outlineLevel="0" collapsed="false">
      <c r="A138" s="2" t="str">
        <f aca="false">Person_Data!A138</f>
        <v>AO18652</v>
      </c>
      <c r="B138" s="2" t="str">
        <f aca="false">Person_Data!C138</f>
        <v>Captain</v>
      </c>
      <c r="C138" s="5" t="n">
        <f aca="false">Person_Data!D138</f>
        <v>7.79</v>
      </c>
      <c r="D138" s="2" t="n">
        <f aca="false">INDEX(Rank_Rules!$B$2:$B$9,MATCH(B138,Rank_Rules!$A$2:$A$9,0))</f>
        <v>7</v>
      </c>
      <c r="E138" s="2" t="n">
        <f aca="false">INDEX(Rank_Rules!$C$2:$C$9,MATCH(B138,Rank_Rules!$A$2:$A$9,0))</f>
        <v>11</v>
      </c>
      <c r="F138" s="2" t="str">
        <f aca="false">IF(AND(C138&gt;=D138,C138&lt;=E138),"OK","MISMATCH")</f>
        <v>OK</v>
      </c>
      <c r="G138" s="6" t="n">
        <f aca="false">Person_Data!H138</f>
        <v>45.5</v>
      </c>
      <c r="H138" s="2" t="str">
        <f aca="false">IF(G138&gt;=65,"HIGH",IF(G138&gt;=50,"MEDIUM","LOW"))</f>
        <v>LOW</v>
      </c>
    </row>
    <row r="139" customFormat="false" ht="15" hidden="false" customHeight="false" outlineLevel="0" collapsed="false">
      <c r="A139" s="2" t="str">
        <f aca="false">Person_Data!A139</f>
        <v>AO24038</v>
      </c>
      <c r="B139" s="2" t="str">
        <f aca="false">Person_Data!C139</f>
        <v>Lieutenant</v>
      </c>
      <c r="C139" s="5" t="n">
        <f aca="false">Person_Data!D139</f>
        <v>1.9</v>
      </c>
      <c r="D139" s="2" t="n">
        <f aca="false">INDEX(Rank_Rules!$B$2:$B$9,MATCH(B139,Rank_Rules!$A$2:$A$9,0))</f>
        <v>1</v>
      </c>
      <c r="E139" s="2" t="n">
        <f aca="false">INDEX(Rank_Rules!$C$2:$C$9,MATCH(B139,Rank_Rules!$A$2:$A$9,0))</f>
        <v>3</v>
      </c>
      <c r="F139" s="2" t="str">
        <f aca="false">IF(AND(C139&gt;=D139,C139&lt;=E139),"OK","MISMATCH")</f>
        <v>OK</v>
      </c>
      <c r="G139" s="6" t="n">
        <f aca="false">Person_Data!H139</f>
        <v>34.4</v>
      </c>
      <c r="H139" s="2" t="str">
        <f aca="false">IF(G139&gt;=65,"HIGH",IF(G139&gt;=50,"MEDIUM","LOW"))</f>
        <v>LOW</v>
      </c>
    </row>
    <row r="140" customFormat="false" ht="15" hidden="false" customHeight="false" outlineLevel="0" collapsed="false">
      <c r="A140" s="2" t="str">
        <f aca="false">Person_Data!A140</f>
        <v>AO23051</v>
      </c>
      <c r="B140" s="2" t="str">
        <f aca="false">Person_Data!C140</f>
        <v>Lieutenant</v>
      </c>
      <c r="C140" s="5" t="n">
        <f aca="false">Person_Data!D140</f>
        <v>2.92</v>
      </c>
      <c r="D140" s="2" t="n">
        <f aca="false">INDEX(Rank_Rules!$B$2:$B$9,MATCH(B140,Rank_Rules!$A$2:$A$9,0))</f>
        <v>1</v>
      </c>
      <c r="E140" s="2" t="n">
        <f aca="false">INDEX(Rank_Rules!$C$2:$C$9,MATCH(B140,Rank_Rules!$A$2:$A$9,0))</f>
        <v>3</v>
      </c>
      <c r="F140" s="2" t="str">
        <f aca="false">IF(AND(C140&gt;=D140,C140&lt;=E140),"OK","MISMATCH")</f>
        <v>OK</v>
      </c>
      <c r="G140" s="6" t="n">
        <f aca="false">Person_Data!H140</f>
        <v>47.9</v>
      </c>
      <c r="H140" s="2" t="str">
        <f aca="false">IF(G140&gt;=65,"HIGH",IF(G140&gt;=50,"MEDIUM","LOW"))</f>
        <v>LOW</v>
      </c>
    </row>
    <row r="141" customFormat="false" ht="15" hidden="false" customHeight="false" outlineLevel="0" collapsed="false">
      <c r="A141" s="2" t="str">
        <f aca="false">Person_Data!A141</f>
        <v>AO25210</v>
      </c>
      <c r="B141" s="2" t="str">
        <f aca="false">Person_Data!C141</f>
        <v>Lieutenant</v>
      </c>
      <c r="C141" s="5" t="n">
        <f aca="false">Person_Data!D141</f>
        <v>1.08</v>
      </c>
      <c r="D141" s="2" t="n">
        <f aca="false">INDEX(Rank_Rules!$B$2:$B$9,MATCH(B141,Rank_Rules!$A$2:$A$9,0))</f>
        <v>1</v>
      </c>
      <c r="E141" s="2" t="n">
        <f aca="false">INDEX(Rank_Rules!$C$2:$C$9,MATCH(B141,Rank_Rules!$A$2:$A$9,0))</f>
        <v>3</v>
      </c>
      <c r="F141" s="2" t="str">
        <f aca="false">IF(AND(C141&gt;=D141,C141&lt;=E141),"OK","MISMATCH")</f>
        <v>OK</v>
      </c>
      <c r="G141" s="6" t="n">
        <f aca="false">Person_Data!H141</f>
        <v>48.8</v>
      </c>
      <c r="H141" s="2" t="str">
        <f aca="false">IF(G141&gt;=65,"HIGH",IF(G141&gt;=50,"MEDIUM","LOW"))</f>
        <v>LOW</v>
      </c>
    </row>
    <row r="142" customFormat="false" ht="15" hidden="false" customHeight="false" outlineLevel="0" collapsed="false">
      <c r="A142" s="2" t="str">
        <f aca="false">Person_Data!A142</f>
        <v>AO25050</v>
      </c>
      <c r="B142" s="2" t="str">
        <f aca="false">Person_Data!C142</f>
        <v>Lieutenant</v>
      </c>
      <c r="C142" s="5" t="n">
        <f aca="false">Person_Data!D142</f>
        <v>1.32</v>
      </c>
      <c r="D142" s="2" t="n">
        <f aca="false">INDEX(Rank_Rules!$B$2:$B$9,MATCH(B142,Rank_Rules!$A$2:$A$9,0))</f>
        <v>1</v>
      </c>
      <c r="E142" s="2" t="n">
        <f aca="false">INDEX(Rank_Rules!$C$2:$C$9,MATCH(B142,Rank_Rules!$A$2:$A$9,0))</f>
        <v>3</v>
      </c>
      <c r="F142" s="2" t="str">
        <f aca="false">IF(AND(C142&gt;=D142,C142&lt;=E142),"OK","MISMATCH")</f>
        <v>OK</v>
      </c>
      <c r="G142" s="6" t="n">
        <f aca="false">Person_Data!H142</f>
        <v>71.2</v>
      </c>
      <c r="H142" s="2" t="str">
        <f aca="false">IF(G142&gt;=65,"HIGH",IF(G142&gt;=50,"MEDIUM","LOW"))</f>
        <v>HIGH</v>
      </c>
    </row>
    <row r="143" customFormat="false" ht="15" hidden="false" customHeight="false" outlineLevel="0" collapsed="false">
      <c r="A143" s="2" t="str">
        <f aca="false">Person_Data!A143</f>
        <v>AO24602</v>
      </c>
      <c r="B143" s="2" t="str">
        <f aca="false">Person_Data!C143</f>
        <v>Lieutenant</v>
      </c>
      <c r="C143" s="5" t="n">
        <f aca="false">Person_Data!D143</f>
        <v>1.93</v>
      </c>
      <c r="D143" s="2" t="n">
        <f aca="false">INDEX(Rank_Rules!$B$2:$B$9,MATCH(B143,Rank_Rules!$A$2:$A$9,0))</f>
        <v>1</v>
      </c>
      <c r="E143" s="2" t="n">
        <f aca="false">INDEX(Rank_Rules!$C$2:$C$9,MATCH(B143,Rank_Rules!$A$2:$A$9,0))</f>
        <v>3</v>
      </c>
      <c r="F143" s="2" t="str">
        <f aca="false">IF(AND(C143&gt;=D143,C143&lt;=E143),"OK","MISMATCH")</f>
        <v>OK</v>
      </c>
      <c r="G143" s="6" t="n">
        <f aca="false">Person_Data!H143</f>
        <v>30.9</v>
      </c>
      <c r="H143" s="2" t="str">
        <f aca="false">IF(G143&gt;=65,"HIGH",IF(G143&gt;=50,"MEDIUM","LOW"))</f>
        <v>LOW</v>
      </c>
    </row>
    <row r="144" customFormat="false" ht="15" hidden="false" customHeight="false" outlineLevel="0" collapsed="false">
      <c r="A144" s="2" t="str">
        <f aca="false">Person_Data!A144</f>
        <v>AO23001</v>
      </c>
      <c r="B144" s="2" t="str">
        <f aca="false">Person_Data!C144</f>
        <v>Lieutenant</v>
      </c>
      <c r="C144" s="5" t="n">
        <f aca="false">Person_Data!D144</f>
        <v>2.86</v>
      </c>
      <c r="D144" s="2" t="n">
        <f aca="false">INDEX(Rank_Rules!$B$2:$B$9,MATCH(B144,Rank_Rules!$A$2:$A$9,0))</f>
        <v>1</v>
      </c>
      <c r="E144" s="2" t="n">
        <f aca="false">INDEX(Rank_Rules!$C$2:$C$9,MATCH(B144,Rank_Rules!$A$2:$A$9,0))</f>
        <v>3</v>
      </c>
      <c r="F144" s="2" t="str">
        <f aca="false">IF(AND(C144&gt;=D144,C144&lt;=E144),"OK","MISMATCH")</f>
        <v>OK</v>
      </c>
      <c r="G144" s="6" t="n">
        <f aca="false">Person_Data!H144</f>
        <v>36.1</v>
      </c>
      <c r="H144" s="2" t="str">
        <f aca="false">IF(G144&gt;=65,"HIGH",IF(G144&gt;=50,"MEDIUM","LOW"))</f>
        <v>LOW</v>
      </c>
    </row>
    <row r="145" customFormat="false" ht="15" hidden="false" customHeight="false" outlineLevel="0" collapsed="false">
      <c r="A145" s="2" t="str">
        <f aca="false">Person_Data!A145</f>
        <v>AO16430</v>
      </c>
      <c r="B145" s="2" t="str">
        <f aca="false">Person_Data!C145</f>
        <v>Captain</v>
      </c>
      <c r="C145" s="5" t="n">
        <f aca="false">Person_Data!D145</f>
        <v>9.5</v>
      </c>
      <c r="D145" s="2" t="n">
        <f aca="false">INDEX(Rank_Rules!$B$2:$B$9,MATCH(B145,Rank_Rules!$A$2:$A$9,0))</f>
        <v>7</v>
      </c>
      <c r="E145" s="2" t="n">
        <f aca="false">INDEX(Rank_Rules!$C$2:$C$9,MATCH(B145,Rank_Rules!$A$2:$A$9,0))</f>
        <v>11</v>
      </c>
      <c r="F145" s="2" t="str">
        <f aca="false">IF(AND(C145&gt;=D145,C145&lt;=E145),"OK","MISMATCH")</f>
        <v>OK</v>
      </c>
      <c r="G145" s="6" t="n">
        <f aca="false">Person_Data!H145</f>
        <v>32.4</v>
      </c>
      <c r="H145" s="2" t="str">
        <f aca="false">IF(G145&gt;=65,"HIGH",IF(G145&gt;=50,"MEDIUM","LOW"))</f>
        <v>LOW</v>
      </c>
    </row>
    <row r="146" customFormat="false" ht="15" hidden="false" customHeight="false" outlineLevel="0" collapsed="false">
      <c r="A146" s="2" t="str">
        <f aca="false">Person_Data!A146</f>
        <v>AO23143</v>
      </c>
      <c r="B146" s="2" t="str">
        <f aca="false">Person_Data!C146</f>
        <v>Lieutenant</v>
      </c>
      <c r="C146" s="5" t="n">
        <f aca="false">Person_Data!D146</f>
        <v>2.58</v>
      </c>
      <c r="D146" s="2" t="n">
        <f aca="false">INDEX(Rank_Rules!$B$2:$B$9,MATCH(B146,Rank_Rules!$A$2:$A$9,0))</f>
        <v>1</v>
      </c>
      <c r="E146" s="2" t="n">
        <f aca="false">INDEX(Rank_Rules!$C$2:$C$9,MATCH(B146,Rank_Rules!$A$2:$A$9,0))</f>
        <v>3</v>
      </c>
      <c r="F146" s="2" t="str">
        <f aca="false">IF(AND(C146&gt;=D146,C146&lt;=E146),"OK","MISMATCH")</f>
        <v>OK</v>
      </c>
      <c r="G146" s="6" t="n">
        <f aca="false">Person_Data!H146</f>
        <v>23.3</v>
      </c>
      <c r="H146" s="2" t="str">
        <f aca="false">IF(G146&gt;=65,"HIGH",IF(G146&gt;=50,"MEDIUM","LOW"))</f>
        <v>LOW</v>
      </c>
    </row>
    <row r="147" customFormat="false" ht="15" hidden="false" customHeight="false" outlineLevel="0" collapsed="false">
      <c r="A147" s="2" t="str">
        <f aca="false">Person_Data!A147</f>
        <v>AO24756</v>
      </c>
      <c r="B147" s="2" t="str">
        <f aca="false">Person_Data!C147</f>
        <v>Lieutenant</v>
      </c>
      <c r="C147" s="5" t="n">
        <f aca="false">Person_Data!D147</f>
        <v>2.42</v>
      </c>
      <c r="D147" s="2" t="n">
        <f aca="false">INDEX(Rank_Rules!$B$2:$B$9,MATCH(B147,Rank_Rules!$A$2:$A$9,0))</f>
        <v>1</v>
      </c>
      <c r="E147" s="2" t="n">
        <f aca="false">INDEX(Rank_Rules!$C$2:$C$9,MATCH(B147,Rank_Rules!$A$2:$A$9,0))</f>
        <v>3</v>
      </c>
      <c r="F147" s="2" t="str">
        <f aca="false">IF(AND(C147&gt;=D147,C147&lt;=E147),"OK","MISMATCH")</f>
        <v>OK</v>
      </c>
      <c r="G147" s="6" t="n">
        <f aca="false">Person_Data!H147</f>
        <v>27.7</v>
      </c>
      <c r="H147" s="2" t="str">
        <f aca="false">IF(G147&gt;=65,"HIGH",IF(G147&gt;=50,"MEDIUM","LOW"))</f>
        <v>LOW</v>
      </c>
    </row>
    <row r="148" customFormat="false" ht="15" hidden="false" customHeight="false" outlineLevel="0" collapsed="false">
      <c r="A148" s="2" t="str">
        <f aca="false">Person_Data!A148</f>
        <v>AO12366</v>
      </c>
      <c r="B148" s="2" t="str">
        <f aca="false">Person_Data!C148</f>
        <v>Major</v>
      </c>
      <c r="C148" s="5" t="n">
        <f aca="false">Person_Data!D148</f>
        <v>13.56</v>
      </c>
      <c r="D148" s="2" t="n">
        <f aca="false">INDEX(Rank_Rules!$B$2:$B$9,MATCH(B148,Rank_Rules!$A$2:$A$9,0))</f>
        <v>12</v>
      </c>
      <c r="E148" s="2" t="n">
        <f aca="false">INDEX(Rank_Rules!$C$2:$C$9,MATCH(B148,Rank_Rules!$A$2:$A$9,0))</f>
        <v>15</v>
      </c>
      <c r="F148" s="2" t="str">
        <f aca="false">IF(AND(C148&gt;=D148,C148&lt;=E148),"OK","MISMATCH")</f>
        <v>OK</v>
      </c>
      <c r="G148" s="6" t="n">
        <f aca="false">Person_Data!H148</f>
        <v>49.1</v>
      </c>
      <c r="H148" s="2" t="str">
        <f aca="false">IF(G148&gt;=65,"HIGH",IF(G148&gt;=50,"MEDIUM","LOW"))</f>
        <v>LOW</v>
      </c>
    </row>
    <row r="149" customFormat="false" ht="15" hidden="false" customHeight="false" outlineLevel="0" collapsed="false">
      <c r="A149" s="2" t="str">
        <f aca="false">Person_Data!A149</f>
        <v>AO24395</v>
      </c>
      <c r="B149" s="2" t="str">
        <f aca="false">Person_Data!C149</f>
        <v>Lieutenant</v>
      </c>
      <c r="C149" s="5" t="n">
        <f aca="false">Person_Data!D149</f>
        <v>2.09</v>
      </c>
      <c r="D149" s="2" t="n">
        <f aca="false">INDEX(Rank_Rules!$B$2:$B$9,MATCH(B149,Rank_Rules!$A$2:$A$9,0))</f>
        <v>1</v>
      </c>
      <c r="E149" s="2" t="n">
        <f aca="false">INDEX(Rank_Rules!$C$2:$C$9,MATCH(B149,Rank_Rules!$A$2:$A$9,0))</f>
        <v>3</v>
      </c>
      <c r="F149" s="2" t="str">
        <f aca="false">IF(AND(C149&gt;=D149,C149&lt;=E149),"OK","MISMATCH")</f>
        <v>OK</v>
      </c>
      <c r="G149" s="6" t="n">
        <f aca="false">Person_Data!H149</f>
        <v>47.4</v>
      </c>
      <c r="H149" s="2" t="str">
        <f aca="false">IF(G149&gt;=65,"HIGH",IF(G149&gt;=50,"MEDIUM","LOW"))</f>
        <v>LOW</v>
      </c>
    </row>
    <row r="150" customFormat="false" ht="15" hidden="false" customHeight="false" outlineLevel="0" collapsed="false">
      <c r="A150" s="2" t="str">
        <f aca="false">Person_Data!A150</f>
        <v>AO23430</v>
      </c>
      <c r="B150" s="2" t="str">
        <f aca="false">Person_Data!C150</f>
        <v>Lieutenant</v>
      </c>
      <c r="C150" s="5" t="n">
        <f aca="false">Person_Data!D150</f>
        <v>2.77</v>
      </c>
      <c r="D150" s="2" t="n">
        <f aca="false">INDEX(Rank_Rules!$B$2:$B$9,MATCH(B150,Rank_Rules!$A$2:$A$9,0))</f>
        <v>1</v>
      </c>
      <c r="E150" s="2" t="n">
        <f aca="false">INDEX(Rank_Rules!$C$2:$C$9,MATCH(B150,Rank_Rules!$A$2:$A$9,0))</f>
        <v>3</v>
      </c>
      <c r="F150" s="2" t="str">
        <f aca="false">IF(AND(C150&gt;=D150,C150&lt;=E150),"OK","MISMATCH")</f>
        <v>OK</v>
      </c>
      <c r="G150" s="6" t="n">
        <f aca="false">Person_Data!H150</f>
        <v>55.4</v>
      </c>
      <c r="H150" s="2" t="str">
        <f aca="false">IF(G150&gt;=65,"HIGH",IF(G150&gt;=50,"MEDIUM","LOW"))</f>
        <v>MEDIUM</v>
      </c>
    </row>
    <row r="151" customFormat="false" ht="15" hidden="false" customHeight="false" outlineLevel="0" collapsed="false">
      <c r="A151" s="2" t="str">
        <f aca="false">Person_Data!A151</f>
        <v>AO24998</v>
      </c>
      <c r="B151" s="2" t="str">
        <f aca="false">Person_Data!C151</f>
        <v>Lieutenant</v>
      </c>
      <c r="C151" s="5" t="n">
        <f aca="false">Person_Data!D151</f>
        <v>1.59</v>
      </c>
      <c r="D151" s="2" t="n">
        <f aca="false">INDEX(Rank_Rules!$B$2:$B$9,MATCH(B151,Rank_Rules!$A$2:$A$9,0))</f>
        <v>1</v>
      </c>
      <c r="E151" s="2" t="n">
        <f aca="false">INDEX(Rank_Rules!$C$2:$C$9,MATCH(B151,Rank_Rules!$A$2:$A$9,0))</f>
        <v>3</v>
      </c>
      <c r="F151" s="2" t="str">
        <f aca="false">IF(AND(C151&gt;=D151,C151&lt;=E151),"OK","MISMATCH")</f>
        <v>OK</v>
      </c>
      <c r="G151" s="6" t="n">
        <f aca="false">Person_Data!H151</f>
        <v>44.5</v>
      </c>
      <c r="H151" s="2" t="str">
        <f aca="false">IF(G151&gt;=65,"HIGH",IF(G151&gt;=50,"MEDIUM","LOW"))</f>
        <v>LOW</v>
      </c>
    </row>
    <row r="152" customFormat="false" ht="15" hidden="false" customHeight="false" outlineLevel="0" collapsed="false">
      <c r="A152" s="2" t="str">
        <f aca="false">Person_Data!A152</f>
        <v>G22440</v>
      </c>
      <c r="B152" s="2" t="str">
        <f aca="false">Person_Data!C152</f>
        <v>Warrant Officer</v>
      </c>
      <c r="C152" s="5" t="n">
        <f aca="false">Person_Data!D152</f>
        <v>3.95</v>
      </c>
      <c r="D152" s="2" t="n">
        <f aca="false">INDEX(Rank_Rules!$B$2:$B$9,MATCH(B152,Rank_Rules!$A$2:$A$9,0))</f>
        <v>3</v>
      </c>
      <c r="E152" s="2" t="n">
        <f aca="false">INDEX(Rank_Rules!$C$2:$C$9,MATCH(B152,Rank_Rules!$A$2:$A$9,0))</f>
        <v>5</v>
      </c>
      <c r="F152" s="2" t="str">
        <f aca="false">IF(AND(C152&gt;=D152,C152&lt;=E152),"OK","MISMATCH")</f>
        <v>OK</v>
      </c>
      <c r="G152" s="6" t="n">
        <f aca="false">Person_Data!H152</f>
        <v>52.1</v>
      </c>
      <c r="H152" s="2" t="str">
        <f aca="false">IF(G152&gt;=65,"HIGH",IF(G152&gt;=50,"MEDIUM","LOW"))</f>
        <v>MEDIUM</v>
      </c>
    </row>
    <row r="153" customFormat="false" ht="15" hidden="false" customHeight="false" outlineLevel="0" collapsed="false">
      <c r="A153" s="2" t="str">
        <f aca="false">Person_Data!A153</f>
        <v>G11589</v>
      </c>
      <c r="B153" s="2" t="str">
        <f aca="false">Person_Data!C153</f>
        <v>Senior Warrant Officer</v>
      </c>
      <c r="C153" s="5" t="n">
        <f aca="false">Person_Data!D153</f>
        <v>14.74</v>
      </c>
      <c r="D153" s="2" t="n">
        <f aca="false">INDEX(Rank_Rules!$B$2:$B$9,MATCH(B153,Rank_Rules!$A$2:$A$9,0))</f>
        <v>5</v>
      </c>
      <c r="E153" s="2" t="n">
        <f aca="false">INDEX(Rank_Rules!$C$2:$C$9,MATCH(B153,Rank_Rules!$A$2:$A$9,0))</f>
        <v>20</v>
      </c>
      <c r="F153" s="2" t="str">
        <f aca="false">IF(AND(C153&gt;=D153,C153&lt;=E153),"OK","MISMATCH")</f>
        <v>OK</v>
      </c>
      <c r="G153" s="6" t="n">
        <f aca="false">Person_Data!H153</f>
        <v>79</v>
      </c>
      <c r="H153" s="2" t="str">
        <f aca="false">IF(G153&gt;=65,"HIGH",IF(G153&gt;=50,"MEDIUM","LOW"))</f>
        <v>HIGH</v>
      </c>
    </row>
    <row r="154" customFormat="false" ht="15" hidden="false" customHeight="false" outlineLevel="0" collapsed="false">
      <c r="A154" s="2" t="str">
        <f aca="false">Person_Data!A154</f>
        <v>G23771</v>
      </c>
      <c r="B154" s="2" t="str">
        <f aca="false">Person_Data!C154</f>
        <v>Warrant Officer</v>
      </c>
      <c r="C154" s="5" t="n">
        <f aca="false">Person_Data!D154</f>
        <v>3.48</v>
      </c>
      <c r="D154" s="2" t="n">
        <f aca="false">INDEX(Rank_Rules!$B$2:$B$9,MATCH(B154,Rank_Rules!$A$2:$A$9,0))</f>
        <v>3</v>
      </c>
      <c r="E154" s="2" t="n">
        <f aca="false">INDEX(Rank_Rules!$C$2:$C$9,MATCH(B154,Rank_Rules!$A$2:$A$9,0))</f>
        <v>5</v>
      </c>
      <c r="F154" s="2" t="str">
        <f aca="false">IF(AND(C154&gt;=D154,C154&lt;=E154),"OK","MISMATCH")</f>
        <v>OK</v>
      </c>
      <c r="G154" s="6" t="n">
        <f aca="false">Person_Data!H154</f>
        <v>74.3</v>
      </c>
      <c r="H154" s="2" t="str">
        <f aca="false">IF(G154&gt;=65,"HIGH",IF(G154&gt;=50,"MEDIUM","LOW"))</f>
        <v>HIGH</v>
      </c>
    </row>
    <row r="155" customFormat="false" ht="15" hidden="false" customHeight="false" outlineLevel="0" collapsed="false">
      <c r="A155" s="2" t="str">
        <f aca="false">Person_Data!A155</f>
        <v>G17117</v>
      </c>
      <c r="B155" s="2" t="str">
        <f aca="false">Person_Data!C155</f>
        <v>Senior Warrant Officer</v>
      </c>
      <c r="C155" s="5" t="n">
        <f aca="false">Person_Data!D155</f>
        <v>8.66</v>
      </c>
      <c r="D155" s="2" t="n">
        <f aca="false">INDEX(Rank_Rules!$B$2:$B$9,MATCH(B155,Rank_Rules!$A$2:$A$9,0))</f>
        <v>5</v>
      </c>
      <c r="E155" s="2" t="n">
        <f aca="false">INDEX(Rank_Rules!$C$2:$C$9,MATCH(B155,Rank_Rules!$A$2:$A$9,0))</f>
        <v>20</v>
      </c>
      <c r="F155" s="2" t="str">
        <f aca="false">IF(AND(C155&gt;=D155,C155&lt;=E155),"OK","MISMATCH")</f>
        <v>OK</v>
      </c>
      <c r="G155" s="6" t="n">
        <f aca="false">Person_Data!H155</f>
        <v>47.2</v>
      </c>
      <c r="H155" s="2" t="str">
        <f aca="false">IF(G155&gt;=65,"HIGH",IF(G155&gt;=50,"MEDIUM","LOW"))</f>
        <v>LOW</v>
      </c>
    </row>
    <row r="156" customFormat="false" ht="15" hidden="false" customHeight="false" outlineLevel="0" collapsed="false">
      <c r="A156" s="2" t="str">
        <f aca="false">Person_Data!A156</f>
        <v>G15417</v>
      </c>
      <c r="B156" s="2" t="str">
        <f aca="false">Person_Data!C156</f>
        <v>Senior Warrant Officer</v>
      </c>
      <c r="C156" s="5" t="n">
        <f aca="false">Person_Data!D156</f>
        <v>10.72</v>
      </c>
      <c r="D156" s="2" t="n">
        <f aca="false">INDEX(Rank_Rules!$B$2:$B$9,MATCH(B156,Rank_Rules!$A$2:$A$9,0))</f>
        <v>5</v>
      </c>
      <c r="E156" s="2" t="n">
        <f aca="false">INDEX(Rank_Rules!$C$2:$C$9,MATCH(B156,Rank_Rules!$A$2:$A$9,0))</f>
        <v>20</v>
      </c>
      <c r="F156" s="2" t="str">
        <f aca="false">IF(AND(C156&gt;=D156,C156&lt;=E156),"OK","MISMATCH")</f>
        <v>OK</v>
      </c>
      <c r="G156" s="6" t="n">
        <f aca="false">Person_Data!H156</f>
        <v>81.4</v>
      </c>
      <c r="H156" s="2" t="str">
        <f aca="false">IF(G156&gt;=65,"HIGH",IF(G156&gt;=50,"MEDIUM","LOW"))</f>
        <v>HIGH</v>
      </c>
    </row>
    <row r="157" customFormat="false" ht="15" hidden="false" customHeight="false" outlineLevel="0" collapsed="false">
      <c r="A157" s="2" t="str">
        <f aca="false">Person_Data!A157</f>
        <v>G24483</v>
      </c>
      <c r="B157" s="2" t="str">
        <f aca="false">Person_Data!C157</f>
        <v>Junior Warrant Officer</v>
      </c>
      <c r="C157" s="5" t="n">
        <f aca="false">Person_Data!D157</f>
        <v>1.51</v>
      </c>
      <c r="D157" s="2" t="n">
        <f aca="false">INDEX(Rank_Rules!$B$2:$B$9,MATCH(B157,Rank_Rules!$A$2:$A$9,0))</f>
        <v>1</v>
      </c>
      <c r="E157" s="2" t="n">
        <f aca="false">INDEX(Rank_Rules!$C$2:$C$9,MATCH(B157,Rank_Rules!$A$2:$A$9,0))</f>
        <v>3</v>
      </c>
      <c r="F157" s="2" t="str">
        <f aca="false">IF(AND(C157&gt;=D157,C157&lt;=E157),"OK","MISMATCH")</f>
        <v>OK</v>
      </c>
      <c r="G157" s="6" t="n">
        <f aca="false">Person_Data!H157</f>
        <v>61.6</v>
      </c>
      <c r="H157" s="2" t="str">
        <f aca="false">IF(G157&gt;=65,"HIGH",IF(G157&gt;=50,"MEDIUM","LOW"))</f>
        <v>MEDIUM</v>
      </c>
    </row>
    <row r="158" customFormat="false" ht="15" hidden="false" customHeight="false" outlineLevel="0" collapsed="false">
      <c r="A158" s="2" t="str">
        <f aca="false">Person_Data!A158</f>
        <v>G24819</v>
      </c>
      <c r="B158" s="2" t="str">
        <f aca="false">Person_Data!C158</f>
        <v>Junior Warrant Officer</v>
      </c>
      <c r="C158" s="5" t="n">
        <f aca="false">Person_Data!D158</f>
        <v>2.03</v>
      </c>
      <c r="D158" s="2" t="n">
        <f aca="false">INDEX(Rank_Rules!$B$2:$B$9,MATCH(B158,Rank_Rules!$A$2:$A$9,0))</f>
        <v>1</v>
      </c>
      <c r="E158" s="2" t="n">
        <f aca="false">INDEX(Rank_Rules!$C$2:$C$9,MATCH(B158,Rank_Rules!$A$2:$A$9,0))</f>
        <v>3</v>
      </c>
      <c r="F158" s="2" t="str">
        <f aca="false">IF(AND(C158&gt;=D158,C158&lt;=E158),"OK","MISMATCH")</f>
        <v>OK</v>
      </c>
      <c r="G158" s="6" t="n">
        <f aca="false">Person_Data!H158</f>
        <v>71.5</v>
      </c>
      <c r="H158" s="2" t="str">
        <f aca="false">IF(G158&gt;=65,"HIGH",IF(G158&gt;=50,"MEDIUM","LOW"))</f>
        <v>HIGH</v>
      </c>
    </row>
    <row r="159" customFormat="false" ht="15" hidden="false" customHeight="false" outlineLevel="0" collapsed="false">
      <c r="A159" s="2" t="str">
        <f aca="false">Person_Data!A159</f>
        <v>G22927</v>
      </c>
      <c r="B159" s="2" t="str">
        <f aca="false">Person_Data!C159</f>
        <v>Warrant Officer</v>
      </c>
      <c r="C159" s="5" t="n">
        <f aca="false">Person_Data!D159</f>
        <v>4.02</v>
      </c>
      <c r="D159" s="2" t="n">
        <f aca="false">INDEX(Rank_Rules!$B$2:$B$9,MATCH(B159,Rank_Rules!$A$2:$A$9,0))</f>
        <v>3</v>
      </c>
      <c r="E159" s="2" t="n">
        <f aca="false">INDEX(Rank_Rules!$C$2:$C$9,MATCH(B159,Rank_Rules!$A$2:$A$9,0))</f>
        <v>5</v>
      </c>
      <c r="F159" s="2" t="str">
        <f aca="false">IF(AND(C159&gt;=D159,C159&lt;=E159),"OK","MISMATCH")</f>
        <v>OK</v>
      </c>
      <c r="G159" s="6" t="n">
        <f aca="false">Person_Data!H159</f>
        <v>44.3</v>
      </c>
      <c r="H159" s="2" t="str">
        <f aca="false">IF(G159&gt;=65,"HIGH",IF(G159&gt;=50,"MEDIUM","LOW"))</f>
        <v>LOW</v>
      </c>
    </row>
    <row r="160" customFormat="false" ht="15" hidden="false" customHeight="false" outlineLevel="0" collapsed="false">
      <c r="A160" s="2" t="str">
        <f aca="false">Person_Data!A160</f>
        <v>G24599</v>
      </c>
      <c r="B160" s="2" t="str">
        <f aca="false">Person_Data!C160</f>
        <v>Junior Warrant Officer</v>
      </c>
      <c r="C160" s="5" t="n">
        <f aca="false">Person_Data!D160</f>
        <v>2.3</v>
      </c>
      <c r="D160" s="2" t="n">
        <f aca="false">INDEX(Rank_Rules!$B$2:$B$9,MATCH(B160,Rank_Rules!$A$2:$A$9,0))</f>
        <v>1</v>
      </c>
      <c r="E160" s="2" t="n">
        <f aca="false">INDEX(Rank_Rules!$C$2:$C$9,MATCH(B160,Rank_Rules!$A$2:$A$9,0))</f>
        <v>3</v>
      </c>
      <c r="F160" s="2" t="str">
        <f aca="false">IF(AND(C160&gt;=D160,C160&lt;=E160),"OK","MISMATCH")</f>
        <v>OK</v>
      </c>
      <c r="G160" s="6" t="n">
        <f aca="false">Person_Data!H160</f>
        <v>34.9</v>
      </c>
      <c r="H160" s="2" t="str">
        <f aca="false">IF(G160&gt;=65,"HIGH",IF(G160&gt;=50,"MEDIUM","LOW"))</f>
        <v>LOW</v>
      </c>
    </row>
    <row r="161" customFormat="false" ht="15" hidden="false" customHeight="false" outlineLevel="0" collapsed="false">
      <c r="A161" s="2" t="str">
        <f aca="false">Person_Data!A161</f>
        <v>G25161</v>
      </c>
      <c r="B161" s="2" t="str">
        <f aca="false">Person_Data!C161</f>
        <v>Junior Warrant Officer</v>
      </c>
      <c r="C161" s="5" t="n">
        <f aca="false">Person_Data!D161</f>
        <v>1.19</v>
      </c>
      <c r="D161" s="2" t="n">
        <f aca="false">INDEX(Rank_Rules!$B$2:$B$9,MATCH(B161,Rank_Rules!$A$2:$A$9,0))</f>
        <v>1</v>
      </c>
      <c r="E161" s="2" t="n">
        <f aca="false">INDEX(Rank_Rules!$C$2:$C$9,MATCH(B161,Rank_Rules!$A$2:$A$9,0))</f>
        <v>3</v>
      </c>
      <c r="F161" s="2" t="str">
        <f aca="false">IF(AND(C161&gt;=D161,C161&lt;=E161),"OK","MISMATCH")</f>
        <v>OK</v>
      </c>
      <c r="G161" s="6" t="n">
        <f aca="false">Person_Data!H161</f>
        <v>31.9</v>
      </c>
      <c r="H161" s="2" t="str">
        <f aca="false">IF(G161&gt;=65,"HIGH",IF(G161&gt;=50,"MEDIUM","LOW"))</f>
        <v>LOW</v>
      </c>
    </row>
    <row r="162" customFormat="false" ht="15" hidden="false" customHeight="false" outlineLevel="0" collapsed="false">
      <c r="A162" s="2" t="str">
        <f aca="false">Person_Data!A162</f>
        <v>G13723</v>
      </c>
      <c r="B162" s="2" t="str">
        <f aca="false">Person_Data!C162</f>
        <v>Senior Warrant Officer</v>
      </c>
      <c r="C162" s="5" t="n">
        <f aca="false">Person_Data!D162</f>
        <v>13</v>
      </c>
      <c r="D162" s="2" t="n">
        <f aca="false">INDEX(Rank_Rules!$B$2:$B$9,MATCH(B162,Rank_Rules!$A$2:$A$9,0))</f>
        <v>5</v>
      </c>
      <c r="E162" s="2" t="n">
        <f aca="false">INDEX(Rank_Rules!$C$2:$C$9,MATCH(B162,Rank_Rules!$A$2:$A$9,0))</f>
        <v>20</v>
      </c>
      <c r="F162" s="2" t="str">
        <f aca="false">IF(AND(C162&gt;=D162,C162&lt;=E162),"OK","MISMATCH")</f>
        <v>OK</v>
      </c>
      <c r="G162" s="6" t="n">
        <f aca="false">Person_Data!H162</f>
        <v>63.8</v>
      </c>
      <c r="H162" s="2" t="str">
        <f aca="false">IF(G162&gt;=65,"HIGH",IF(G162&gt;=50,"MEDIUM","LOW"))</f>
        <v>MEDIUM</v>
      </c>
    </row>
    <row r="163" customFormat="false" ht="15" hidden="false" customHeight="false" outlineLevel="0" collapsed="false">
      <c r="A163" s="2" t="str">
        <f aca="false">Person_Data!A163</f>
        <v>G24135</v>
      </c>
      <c r="B163" s="2" t="str">
        <f aca="false">Person_Data!C163</f>
        <v>Junior Warrant Officer</v>
      </c>
      <c r="C163" s="5" t="n">
        <f aca="false">Person_Data!D163</f>
        <v>2.26</v>
      </c>
      <c r="D163" s="2" t="n">
        <f aca="false">INDEX(Rank_Rules!$B$2:$B$9,MATCH(B163,Rank_Rules!$A$2:$A$9,0))</f>
        <v>1</v>
      </c>
      <c r="E163" s="2" t="n">
        <f aca="false">INDEX(Rank_Rules!$C$2:$C$9,MATCH(B163,Rank_Rules!$A$2:$A$9,0))</f>
        <v>3</v>
      </c>
      <c r="F163" s="2" t="str">
        <f aca="false">IF(AND(C163&gt;=D163,C163&lt;=E163),"OK","MISMATCH")</f>
        <v>OK</v>
      </c>
      <c r="G163" s="6" t="n">
        <f aca="false">Person_Data!H163</f>
        <v>27</v>
      </c>
      <c r="H163" s="2" t="str">
        <f aca="false">IF(G163&gt;=65,"HIGH",IF(G163&gt;=50,"MEDIUM","LOW"))</f>
        <v>LOW</v>
      </c>
    </row>
    <row r="164" customFormat="false" ht="15" hidden="false" customHeight="false" outlineLevel="0" collapsed="false">
      <c r="A164" s="2" t="str">
        <f aca="false">Person_Data!A164</f>
        <v>G21624</v>
      </c>
      <c r="B164" s="2" t="str">
        <f aca="false">Person_Data!C164</f>
        <v>Warrant Officer</v>
      </c>
      <c r="C164" s="5" t="n">
        <f aca="false">Person_Data!D164</f>
        <v>4.67</v>
      </c>
      <c r="D164" s="2" t="n">
        <f aca="false">INDEX(Rank_Rules!$B$2:$B$9,MATCH(B164,Rank_Rules!$A$2:$A$9,0))</f>
        <v>3</v>
      </c>
      <c r="E164" s="2" t="n">
        <f aca="false">INDEX(Rank_Rules!$C$2:$C$9,MATCH(B164,Rank_Rules!$A$2:$A$9,0))</f>
        <v>5</v>
      </c>
      <c r="F164" s="2" t="str">
        <f aca="false">IF(AND(C164&gt;=D164,C164&lt;=E164),"OK","MISMATCH")</f>
        <v>OK</v>
      </c>
      <c r="G164" s="6" t="n">
        <f aca="false">Person_Data!H164</f>
        <v>40.3</v>
      </c>
      <c r="H164" s="2" t="str">
        <f aca="false">IF(G164&gt;=65,"HIGH",IF(G164&gt;=50,"MEDIUM","LOW"))</f>
        <v>LOW</v>
      </c>
    </row>
    <row r="165" customFormat="false" ht="15" hidden="false" customHeight="false" outlineLevel="0" collapsed="false">
      <c r="A165" s="2" t="str">
        <f aca="false">Person_Data!A165</f>
        <v>G08986</v>
      </c>
      <c r="B165" s="2" t="str">
        <f aca="false">Person_Data!C165</f>
        <v>Senior Warrant Officer</v>
      </c>
      <c r="C165" s="5" t="n">
        <f aca="false">Person_Data!D165</f>
        <v>18.18</v>
      </c>
      <c r="D165" s="2" t="n">
        <f aca="false">INDEX(Rank_Rules!$B$2:$B$9,MATCH(B165,Rank_Rules!$A$2:$A$9,0))</f>
        <v>5</v>
      </c>
      <c r="E165" s="2" t="n">
        <f aca="false">INDEX(Rank_Rules!$C$2:$C$9,MATCH(B165,Rank_Rules!$A$2:$A$9,0))</f>
        <v>20</v>
      </c>
      <c r="F165" s="2" t="str">
        <f aca="false">IF(AND(C165&gt;=D165,C165&lt;=E165),"OK","MISMATCH")</f>
        <v>OK</v>
      </c>
      <c r="G165" s="6" t="n">
        <f aca="false">Person_Data!H165</f>
        <v>50.5</v>
      </c>
      <c r="H165" s="2" t="str">
        <f aca="false">IF(G165&gt;=65,"HIGH",IF(G165&gt;=50,"MEDIUM","LOW"))</f>
        <v>MEDIUM</v>
      </c>
    </row>
    <row r="166" customFormat="false" ht="15" hidden="false" customHeight="false" outlineLevel="0" collapsed="false">
      <c r="A166" s="2" t="str">
        <f aca="false">Person_Data!A166</f>
        <v>G21223</v>
      </c>
      <c r="B166" s="2" t="str">
        <f aca="false">Person_Data!C166</f>
        <v>Warrant Officer</v>
      </c>
      <c r="C166" s="5" t="n">
        <f aca="false">Person_Data!D166</f>
        <v>4.63</v>
      </c>
      <c r="D166" s="2" t="n">
        <f aca="false">INDEX(Rank_Rules!$B$2:$B$9,MATCH(B166,Rank_Rules!$A$2:$A$9,0))</f>
        <v>3</v>
      </c>
      <c r="E166" s="2" t="n">
        <f aca="false">INDEX(Rank_Rules!$C$2:$C$9,MATCH(B166,Rank_Rules!$A$2:$A$9,0))</f>
        <v>5</v>
      </c>
      <c r="F166" s="2" t="str">
        <f aca="false">IF(AND(C166&gt;=D166,C166&lt;=E166),"OK","MISMATCH")</f>
        <v>OK</v>
      </c>
      <c r="G166" s="6" t="n">
        <f aca="false">Person_Data!H166</f>
        <v>62.6</v>
      </c>
      <c r="H166" s="2" t="str">
        <f aca="false">IF(G166&gt;=65,"HIGH",IF(G166&gt;=50,"MEDIUM","LOW"))</f>
        <v>MEDIUM</v>
      </c>
    </row>
    <row r="167" customFormat="false" ht="15" hidden="false" customHeight="false" outlineLevel="0" collapsed="false">
      <c r="A167" s="2" t="str">
        <f aca="false">Person_Data!A167</f>
        <v>G23268</v>
      </c>
      <c r="B167" s="2" t="str">
        <f aca="false">Person_Data!C167</f>
        <v>Warrant Officer</v>
      </c>
      <c r="C167" s="5" t="n">
        <f aca="false">Person_Data!D167</f>
        <v>3.05</v>
      </c>
      <c r="D167" s="2" t="n">
        <f aca="false">INDEX(Rank_Rules!$B$2:$B$9,MATCH(B167,Rank_Rules!$A$2:$A$9,0))</f>
        <v>3</v>
      </c>
      <c r="E167" s="2" t="n">
        <f aca="false">INDEX(Rank_Rules!$C$2:$C$9,MATCH(B167,Rank_Rules!$A$2:$A$9,0))</f>
        <v>5</v>
      </c>
      <c r="F167" s="2" t="str">
        <f aca="false">IF(AND(C167&gt;=D167,C167&lt;=E167),"OK","MISMATCH")</f>
        <v>OK</v>
      </c>
      <c r="G167" s="6" t="n">
        <f aca="false">Person_Data!H167</f>
        <v>59.6</v>
      </c>
      <c r="H167" s="2" t="str">
        <f aca="false">IF(G167&gt;=65,"HIGH",IF(G167&gt;=50,"MEDIUM","LOW"))</f>
        <v>MEDIUM</v>
      </c>
    </row>
    <row r="168" customFormat="false" ht="15" hidden="false" customHeight="false" outlineLevel="0" collapsed="false">
      <c r="A168" s="2" t="str">
        <f aca="false">Person_Data!A168</f>
        <v>G25106</v>
      </c>
      <c r="B168" s="2" t="str">
        <f aca="false">Person_Data!C168</f>
        <v>Junior Warrant Officer</v>
      </c>
      <c r="C168" s="5" t="n">
        <f aca="false">Person_Data!D168</f>
        <v>1.15</v>
      </c>
      <c r="D168" s="2" t="n">
        <f aca="false">INDEX(Rank_Rules!$B$2:$B$9,MATCH(B168,Rank_Rules!$A$2:$A$9,0))</f>
        <v>1</v>
      </c>
      <c r="E168" s="2" t="n">
        <f aca="false">INDEX(Rank_Rules!$C$2:$C$9,MATCH(B168,Rank_Rules!$A$2:$A$9,0))</f>
        <v>3</v>
      </c>
      <c r="F168" s="2" t="str">
        <f aca="false">IF(AND(C168&gt;=D168,C168&lt;=E168),"OK","MISMATCH")</f>
        <v>OK</v>
      </c>
      <c r="G168" s="6" t="n">
        <f aca="false">Person_Data!H168</f>
        <v>25.5</v>
      </c>
      <c r="H168" s="2" t="str">
        <f aca="false">IF(G168&gt;=65,"HIGH",IF(G168&gt;=50,"MEDIUM","LOW"))</f>
        <v>LOW</v>
      </c>
    </row>
    <row r="169" customFormat="false" ht="15" hidden="false" customHeight="false" outlineLevel="0" collapsed="false">
      <c r="A169" s="2" t="str">
        <f aca="false">Person_Data!A169</f>
        <v>G25990</v>
      </c>
      <c r="B169" s="2" t="str">
        <f aca="false">Person_Data!C169</f>
        <v>Junior Warrant Officer</v>
      </c>
      <c r="C169" s="5" t="n">
        <f aca="false">Person_Data!D169</f>
        <v>1.14</v>
      </c>
      <c r="D169" s="2" t="n">
        <f aca="false">INDEX(Rank_Rules!$B$2:$B$9,MATCH(B169,Rank_Rules!$A$2:$A$9,0))</f>
        <v>1</v>
      </c>
      <c r="E169" s="2" t="n">
        <f aca="false">INDEX(Rank_Rules!$C$2:$C$9,MATCH(B169,Rank_Rules!$A$2:$A$9,0))</f>
        <v>3</v>
      </c>
      <c r="F169" s="2" t="str">
        <f aca="false">IF(AND(C169&gt;=D169,C169&lt;=E169),"OK","MISMATCH")</f>
        <v>OK</v>
      </c>
      <c r="G169" s="6" t="n">
        <f aca="false">Person_Data!H169</f>
        <v>68.6</v>
      </c>
      <c r="H169" s="2" t="str">
        <f aca="false">IF(G169&gt;=65,"HIGH",IF(G169&gt;=50,"MEDIUM","LOW"))</f>
        <v>HIGH</v>
      </c>
    </row>
    <row r="170" customFormat="false" ht="15" hidden="false" customHeight="false" outlineLevel="0" collapsed="false">
      <c r="A170" s="2" t="str">
        <f aca="false">Person_Data!A170</f>
        <v>G15161</v>
      </c>
      <c r="B170" s="2" t="str">
        <f aca="false">Person_Data!C170</f>
        <v>Senior Warrant Officer</v>
      </c>
      <c r="C170" s="5" t="n">
        <f aca="false">Person_Data!D170</f>
        <v>11.11</v>
      </c>
      <c r="D170" s="2" t="n">
        <f aca="false">INDEX(Rank_Rules!$B$2:$B$9,MATCH(B170,Rank_Rules!$A$2:$A$9,0))</f>
        <v>5</v>
      </c>
      <c r="E170" s="2" t="n">
        <f aca="false">INDEX(Rank_Rules!$C$2:$C$9,MATCH(B170,Rank_Rules!$A$2:$A$9,0))</f>
        <v>20</v>
      </c>
      <c r="F170" s="2" t="str">
        <f aca="false">IF(AND(C170&gt;=D170,C170&lt;=E170),"OK","MISMATCH")</f>
        <v>OK</v>
      </c>
      <c r="G170" s="6" t="n">
        <f aca="false">Person_Data!H170</f>
        <v>46.9</v>
      </c>
      <c r="H170" s="2" t="str">
        <f aca="false">IF(G170&gt;=65,"HIGH",IF(G170&gt;=50,"MEDIUM","LOW"))</f>
        <v>LOW</v>
      </c>
    </row>
    <row r="171" customFormat="false" ht="15" hidden="false" customHeight="false" outlineLevel="0" collapsed="false">
      <c r="A171" s="2" t="str">
        <f aca="false">Person_Data!A171</f>
        <v>G22969</v>
      </c>
      <c r="B171" s="2" t="str">
        <f aca="false">Person_Data!C171</f>
        <v>Warrant Officer</v>
      </c>
      <c r="C171" s="5" t="n">
        <f aca="false">Person_Data!D171</f>
        <v>3.63</v>
      </c>
      <c r="D171" s="2" t="n">
        <f aca="false">INDEX(Rank_Rules!$B$2:$B$9,MATCH(B171,Rank_Rules!$A$2:$A$9,0))</f>
        <v>3</v>
      </c>
      <c r="E171" s="2" t="n">
        <f aca="false">INDEX(Rank_Rules!$C$2:$C$9,MATCH(B171,Rank_Rules!$A$2:$A$9,0))</f>
        <v>5</v>
      </c>
      <c r="F171" s="2" t="str">
        <f aca="false">IF(AND(C171&gt;=D171,C171&lt;=E171),"OK","MISMATCH")</f>
        <v>OK</v>
      </c>
      <c r="G171" s="6" t="n">
        <f aca="false">Person_Data!H171</f>
        <v>70.2</v>
      </c>
      <c r="H171" s="2" t="str">
        <f aca="false">IF(G171&gt;=65,"HIGH",IF(G171&gt;=50,"MEDIUM","LOW"))</f>
        <v>HIGH</v>
      </c>
    </row>
    <row r="172" customFormat="false" ht="15" hidden="false" customHeight="false" outlineLevel="0" collapsed="false">
      <c r="A172" s="2" t="str">
        <f aca="false">Person_Data!A172</f>
        <v>G25008</v>
      </c>
      <c r="B172" s="2" t="str">
        <f aca="false">Person_Data!C172</f>
        <v>Junior Warrant Officer</v>
      </c>
      <c r="C172" s="5" t="n">
        <f aca="false">Person_Data!D172</f>
        <v>1.01</v>
      </c>
      <c r="D172" s="2" t="n">
        <f aca="false">INDEX(Rank_Rules!$B$2:$B$9,MATCH(B172,Rank_Rules!$A$2:$A$9,0))</f>
        <v>1</v>
      </c>
      <c r="E172" s="2" t="n">
        <f aca="false">INDEX(Rank_Rules!$C$2:$C$9,MATCH(B172,Rank_Rules!$A$2:$A$9,0))</f>
        <v>3</v>
      </c>
      <c r="F172" s="2" t="str">
        <f aca="false">IF(AND(C172&gt;=D172,C172&lt;=E172),"OK","MISMATCH")</f>
        <v>OK</v>
      </c>
      <c r="G172" s="6" t="n">
        <f aca="false">Person_Data!H172</f>
        <v>46.1</v>
      </c>
      <c r="H172" s="2" t="str">
        <f aca="false">IF(G172&gt;=65,"HIGH",IF(G172&gt;=50,"MEDIUM","LOW"))</f>
        <v>LOW</v>
      </c>
    </row>
    <row r="173" customFormat="false" ht="15" hidden="false" customHeight="false" outlineLevel="0" collapsed="false">
      <c r="A173" s="2" t="str">
        <f aca="false">Person_Data!A173</f>
        <v>G24879</v>
      </c>
      <c r="B173" s="2" t="str">
        <f aca="false">Person_Data!C173</f>
        <v>Junior Warrant Officer</v>
      </c>
      <c r="C173" s="5" t="n">
        <f aca="false">Person_Data!D173</f>
        <v>2.49</v>
      </c>
      <c r="D173" s="2" t="n">
        <f aca="false">INDEX(Rank_Rules!$B$2:$B$9,MATCH(B173,Rank_Rules!$A$2:$A$9,0))</f>
        <v>1</v>
      </c>
      <c r="E173" s="2" t="n">
        <f aca="false">INDEX(Rank_Rules!$C$2:$C$9,MATCH(B173,Rank_Rules!$A$2:$A$9,0))</f>
        <v>3</v>
      </c>
      <c r="F173" s="2" t="str">
        <f aca="false">IF(AND(C173&gt;=D173,C173&lt;=E173),"OK","MISMATCH")</f>
        <v>OK</v>
      </c>
      <c r="G173" s="6" t="n">
        <f aca="false">Person_Data!H173</f>
        <v>48.1</v>
      </c>
      <c r="H173" s="2" t="str">
        <f aca="false">IF(G173&gt;=65,"HIGH",IF(G173&gt;=50,"MEDIUM","LOW"))</f>
        <v>LOW</v>
      </c>
    </row>
    <row r="174" customFormat="false" ht="15" hidden="false" customHeight="false" outlineLevel="0" collapsed="false">
      <c r="A174" s="2" t="str">
        <f aca="false">Person_Data!A174</f>
        <v>G16019</v>
      </c>
      <c r="B174" s="2" t="str">
        <f aca="false">Person_Data!C174</f>
        <v>Senior Warrant Officer</v>
      </c>
      <c r="C174" s="5" t="n">
        <f aca="false">Person_Data!D174</f>
        <v>10.37</v>
      </c>
      <c r="D174" s="2" t="n">
        <f aca="false">INDEX(Rank_Rules!$B$2:$B$9,MATCH(B174,Rank_Rules!$A$2:$A$9,0))</f>
        <v>5</v>
      </c>
      <c r="E174" s="2" t="n">
        <f aca="false">INDEX(Rank_Rules!$C$2:$C$9,MATCH(B174,Rank_Rules!$A$2:$A$9,0))</f>
        <v>20</v>
      </c>
      <c r="F174" s="2" t="str">
        <f aca="false">IF(AND(C174&gt;=D174,C174&lt;=E174),"OK","MISMATCH")</f>
        <v>OK</v>
      </c>
      <c r="G174" s="6" t="n">
        <f aca="false">Person_Data!H174</f>
        <v>46.4</v>
      </c>
      <c r="H174" s="2" t="str">
        <f aca="false">IF(G174&gt;=65,"HIGH",IF(G174&gt;=50,"MEDIUM","LOW"))</f>
        <v>LOW</v>
      </c>
    </row>
    <row r="175" customFormat="false" ht="15" hidden="false" customHeight="false" outlineLevel="0" collapsed="false">
      <c r="A175" s="2" t="str">
        <f aca="false">Person_Data!A175</f>
        <v>G24796</v>
      </c>
      <c r="B175" s="2" t="str">
        <f aca="false">Person_Data!C175</f>
        <v>Junior Warrant Officer</v>
      </c>
      <c r="C175" s="5" t="n">
        <f aca="false">Person_Data!D175</f>
        <v>2.37</v>
      </c>
      <c r="D175" s="2" t="n">
        <f aca="false">INDEX(Rank_Rules!$B$2:$B$9,MATCH(B175,Rank_Rules!$A$2:$A$9,0))</f>
        <v>1</v>
      </c>
      <c r="E175" s="2" t="n">
        <f aca="false">INDEX(Rank_Rules!$C$2:$C$9,MATCH(B175,Rank_Rules!$A$2:$A$9,0))</f>
        <v>3</v>
      </c>
      <c r="F175" s="2" t="str">
        <f aca="false">IF(AND(C175&gt;=D175,C175&lt;=E175),"OK","MISMATCH")</f>
        <v>OK</v>
      </c>
      <c r="G175" s="6" t="n">
        <f aca="false">Person_Data!H175</f>
        <v>48.1</v>
      </c>
      <c r="H175" s="2" t="str">
        <f aca="false">IF(G175&gt;=65,"HIGH",IF(G175&gt;=50,"MEDIUM","LOW"))</f>
        <v>LOW</v>
      </c>
    </row>
    <row r="176" customFormat="false" ht="15" hidden="false" customHeight="false" outlineLevel="0" collapsed="false">
      <c r="A176" s="2" t="str">
        <f aca="false">Person_Data!A176</f>
        <v>G23895</v>
      </c>
      <c r="B176" s="2" t="str">
        <f aca="false">Person_Data!C176</f>
        <v>Junior Warrant Officer</v>
      </c>
      <c r="C176" s="5" t="n">
        <f aca="false">Person_Data!D176</f>
        <v>2.85</v>
      </c>
      <c r="D176" s="2" t="n">
        <f aca="false">INDEX(Rank_Rules!$B$2:$B$9,MATCH(B176,Rank_Rules!$A$2:$A$9,0))</f>
        <v>1</v>
      </c>
      <c r="E176" s="2" t="n">
        <f aca="false">INDEX(Rank_Rules!$C$2:$C$9,MATCH(B176,Rank_Rules!$A$2:$A$9,0))</f>
        <v>3</v>
      </c>
      <c r="F176" s="2" t="str">
        <f aca="false">IF(AND(C176&gt;=D176,C176&lt;=E176),"OK","MISMATCH")</f>
        <v>OK</v>
      </c>
      <c r="G176" s="6" t="n">
        <f aca="false">Person_Data!H176</f>
        <v>46.6</v>
      </c>
      <c r="H176" s="2" t="str">
        <f aca="false">IF(G176&gt;=65,"HIGH",IF(G176&gt;=50,"MEDIUM","LOW"))</f>
        <v>LOW</v>
      </c>
    </row>
    <row r="177" customFormat="false" ht="15" hidden="false" customHeight="false" outlineLevel="0" collapsed="false">
      <c r="A177" s="2" t="str">
        <f aca="false">Person_Data!A177</f>
        <v>G21967</v>
      </c>
      <c r="B177" s="2" t="str">
        <f aca="false">Person_Data!C177</f>
        <v>Senior Warrant Officer</v>
      </c>
      <c r="C177" s="5" t="n">
        <f aca="false">Person_Data!D177</f>
        <v>5.46</v>
      </c>
      <c r="D177" s="2" t="n">
        <f aca="false">INDEX(Rank_Rules!$B$2:$B$9,MATCH(B177,Rank_Rules!$A$2:$A$9,0))</f>
        <v>5</v>
      </c>
      <c r="E177" s="2" t="n">
        <f aca="false">INDEX(Rank_Rules!$C$2:$C$9,MATCH(B177,Rank_Rules!$A$2:$A$9,0))</f>
        <v>20</v>
      </c>
      <c r="F177" s="2" t="str">
        <f aca="false">IF(AND(C177&gt;=D177,C177&lt;=E177),"OK","MISMATCH")</f>
        <v>OK</v>
      </c>
      <c r="G177" s="6" t="n">
        <f aca="false">Person_Data!H177</f>
        <v>48.1</v>
      </c>
      <c r="H177" s="2" t="str">
        <f aca="false">IF(G177&gt;=65,"HIGH",IF(G177&gt;=50,"MEDIUM","LOW"))</f>
        <v>LOW</v>
      </c>
    </row>
    <row r="178" customFormat="false" ht="15" hidden="false" customHeight="false" outlineLevel="0" collapsed="false">
      <c r="A178" s="2" t="str">
        <f aca="false">Person_Data!A178</f>
        <v>G24128</v>
      </c>
      <c r="B178" s="2" t="str">
        <f aca="false">Person_Data!C178</f>
        <v>Junior Warrant Officer</v>
      </c>
      <c r="C178" s="5" t="n">
        <f aca="false">Person_Data!D178</f>
        <v>2.49</v>
      </c>
      <c r="D178" s="2" t="n">
        <f aca="false">INDEX(Rank_Rules!$B$2:$B$9,MATCH(B178,Rank_Rules!$A$2:$A$9,0))</f>
        <v>1</v>
      </c>
      <c r="E178" s="2" t="n">
        <f aca="false">INDEX(Rank_Rules!$C$2:$C$9,MATCH(B178,Rank_Rules!$A$2:$A$9,0))</f>
        <v>3</v>
      </c>
      <c r="F178" s="2" t="str">
        <f aca="false">IF(AND(C178&gt;=D178,C178&lt;=E178),"OK","MISMATCH")</f>
        <v>OK</v>
      </c>
      <c r="G178" s="6" t="n">
        <f aca="false">Person_Data!H178</f>
        <v>57.4</v>
      </c>
      <c r="H178" s="2" t="str">
        <f aca="false">IF(G178&gt;=65,"HIGH",IF(G178&gt;=50,"MEDIUM","LOW"))</f>
        <v>MEDIUM</v>
      </c>
    </row>
    <row r="179" customFormat="false" ht="15" hidden="false" customHeight="false" outlineLevel="0" collapsed="false">
      <c r="A179" s="2" t="str">
        <f aca="false">Person_Data!A179</f>
        <v>G17208</v>
      </c>
      <c r="B179" s="2" t="str">
        <f aca="false">Person_Data!C179</f>
        <v>Senior Warrant Officer</v>
      </c>
      <c r="C179" s="5" t="n">
        <f aca="false">Person_Data!D179</f>
        <v>9.42</v>
      </c>
      <c r="D179" s="2" t="n">
        <f aca="false">INDEX(Rank_Rules!$B$2:$B$9,MATCH(B179,Rank_Rules!$A$2:$A$9,0))</f>
        <v>5</v>
      </c>
      <c r="E179" s="2" t="n">
        <f aca="false">INDEX(Rank_Rules!$C$2:$C$9,MATCH(B179,Rank_Rules!$A$2:$A$9,0))</f>
        <v>20</v>
      </c>
      <c r="F179" s="2" t="str">
        <f aca="false">IF(AND(C179&gt;=D179,C179&lt;=E179),"OK","MISMATCH")</f>
        <v>OK</v>
      </c>
      <c r="G179" s="6" t="n">
        <f aca="false">Person_Data!H179</f>
        <v>48.1</v>
      </c>
      <c r="H179" s="2" t="str">
        <f aca="false">IF(G179&gt;=65,"HIGH",IF(G179&gt;=50,"MEDIUM","LOW"))</f>
        <v>LOW</v>
      </c>
    </row>
    <row r="180" customFormat="false" ht="15" hidden="false" customHeight="false" outlineLevel="0" collapsed="false">
      <c r="A180" s="2" t="str">
        <f aca="false">Person_Data!A180</f>
        <v>G23922</v>
      </c>
      <c r="B180" s="2" t="str">
        <f aca="false">Person_Data!C180</f>
        <v>Junior Warrant Officer</v>
      </c>
      <c r="C180" s="5" t="n">
        <f aca="false">Person_Data!D180</f>
        <v>2.77</v>
      </c>
      <c r="D180" s="2" t="n">
        <f aca="false">INDEX(Rank_Rules!$B$2:$B$9,MATCH(B180,Rank_Rules!$A$2:$A$9,0))</f>
        <v>1</v>
      </c>
      <c r="E180" s="2" t="n">
        <f aca="false">INDEX(Rank_Rules!$C$2:$C$9,MATCH(B180,Rank_Rules!$A$2:$A$9,0))</f>
        <v>3</v>
      </c>
      <c r="F180" s="2" t="str">
        <f aca="false">IF(AND(C180&gt;=D180,C180&lt;=E180),"OK","MISMATCH")</f>
        <v>OK</v>
      </c>
      <c r="G180" s="6" t="n">
        <f aca="false">Person_Data!H180</f>
        <v>48.1</v>
      </c>
      <c r="H180" s="2" t="str">
        <f aca="false">IF(G180&gt;=65,"HIGH",IF(G180&gt;=50,"MEDIUM","LOW"))</f>
        <v>LOW</v>
      </c>
    </row>
    <row r="181" customFormat="false" ht="15" hidden="false" customHeight="false" outlineLevel="0" collapsed="false">
      <c r="A181" s="2" t="str">
        <f aca="false">Person_Data!A181</f>
        <v>G11685</v>
      </c>
      <c r="B181" s="2" t="str">
        <f aca="false">Person_Data!C181</f>
        <v>Senior Warrant Officer</v>
      </c>
      <c r="C181" s="5" t="n">
        <f aca="false">Person_Data!D181</f>
        <v>14.72</v>
      </c>
      <c r="D181" s="2" t="n">
        <f aca="false">INDEX(Rank_Rules!$B$2:$B$9,MATCH(B181,Rank_Rules!$A$2:$A$9,0))</f>
        <v>5</v>
      </c>
      <c r="E181" s="2" t="n">
        <f aca="false">INDEX(Rank_Rules!$C$2:$C$9,MATCH(B181,Rank_Rules!$A$2:$A$9,0))</f>
        <v>20</v>
      </c>
      <c r="F181" s="2" t="str">
        <f aca="false">IF(AND(C181&gt;=D181,C181&lt;=E181),"OK","MISMATCH")</f>
        <v>OK</v>
      </c>
      <c r="G181" s="6" t="n">
        <f aca="false">Person_Data!H181</f>
        <v>48.1</v>
      </c>
      <c r="H181" s="2" t="str">
        <f aca="false">IF(G181&gt;=65,"HIGH",IF(G181&gt;=50,"MEDIUM","LOW"))</f>
        <v>LOW</v>
      </c>
    </row>
    <row r="182" customFormat="false" ht="15" hidden="false" customHeight="false" outlineLevel="0" collapsed="false">
      <c r="A182" s="2" t="str">
        <f aca="false">Person_Data!A182</f>
        <v>G23964</v>
      </c>
      <c r="B182" s="2" t="str">
        <f aca="false">Person_Data!C182</f>
        <v>Junior Warrant Officer</v>
      </c>
      <c r="C182" s="5" t="n">
        <f aca="false">Person_Data!D182</f>
        <v>2.75</v>
      </c>
      <c r="D182" s="2" t="n">
        <f aca="false">INDEX(Rank_Rules!$B$2:$B$9,MATCH(B182,Rank_Rules!$A$2:$A$9,0))</f>
        <v>1</v>
      </c>
      <c r="E182" s="2" t="n">
        <f aca="false">INDEX(Rank_Rules!$C$2:$C$9,MATCH(B182,Rank_Rules!$A$2:$A$9,0))</f>
        <v>3</v>
      </c>
      <c r="F182" s="2" t="str">
        <f aca="false">IF(AND(C182&gt;=D182,C182&lt;=E182),"OK","MISMATCH")</f>
        <v>OK</v>
      </c>
      <c r="G182" s="6" t="n">
        <f aca="false">Person_Data!H182</f>
        <v>48.1</v>
      </c>
      <c r="H182" s="2" t="str">
        <f aca="false">IF(G182&gt;=65,"HIGH",IF(G182&gt;=50,"MEDIUM","LOW"))</f>
        <v>LOW</v>
      </c>
    </row>
    <row r="183" customFormat="false" ht="15" hidden="false" customHeight="false" outlineLevel="0" collapsed="false">
      <c r="A183" s="2" t="str">
        <f aca="false">Person_Data!A183</f>
        <v>G24038</v>
      </c>
      <c r="B183" s="2" t="str">
        <f aca="false">Person_Data!C183</f>
        <v>Junior Warrant Officer</v>
      </c>
      <c r="C183" s="5" t="n">
        <f aca="false">Person_Data!D183</f>
        <v>2.15</v>
      </c>
      <c r="D183" s="2" t="n">
        <f aca="false">INDEX(Rank_Rules!$B$2:$B$9,MATCH(B183,Rank_Rules!$A$2:$A$9,0))</f>
        <v>1</v>
      </c>
      <c r="E183" s="2" t="n">
        <f aca="false">INDEX(Rank_Rules!$C$2:$C$9,MATCH(B183,Rank_Rules!$A$2:$A$9,0))</f>
        <v>3</v>
      </c>
      <c r="F183" s="2" t="str">
        <f aca="false">IF(AND(C183&gt;=D183,C183&lt;=E183),"OK","MISMATCH")</f>
        <v>OK</v>
      </c>
      <c r="G183" s="6" t="n">
        <f aca="false">Person_Data!H183</f>
        <v>48.1</v>
      </c>
      <c r="H183" s="2" t="str">
        <f aca="false">IF(G183&gt;=65,"HIGH",IF(G183&gt;=50,"MEDIUM","LOW"))</f>
        <v>LOW</v>
      </c>
    </row>
    <row r="184" customFormat="false" ht="15" hidden="false" customHeight="false" outlineLevel="0" collapsed="false">
      <c r="A184" s="2" t="str">
        <f aca="false">Person_Data!A184</f>
        <v>G23945</v>
      </c>
      <c r="B184" s="2" t="str">
        <f aca="false">Person_Data!C184</f>
        <v>Warrant Officer</v>
      </c>
      <c r="C184" s="5" t="n">
        <f aca="false">Person_Data!D184</f>
        <v>3.17</v>
      </c>
      <c r="D184" s="2" t="n">
        <f aca="false">INDEX(Rank_Rules!$B$2:$B$9,MATCH(B184,Rank_Rules!$A$2:$A$9,0))</f>
        <v>3</v>
      </c>
      <c r="E184" s="2" t="n">
        <f aca="false">INDEX(Rank_Rules!$C$2:$C$9,MATCH(B184,Rank_Rules!$A$2:$A$9,0))</f>
        <v>5</v>
      </c>
      <c r="F184" s="2" t="str">
        <f aca="false">IF(AND(C184&gt;=D184,C184&lt;=E184),"OK","MISMATCH")</f>
        <v>OK</v>
      </c>
      <c r="G184" s="6" t="n">
        <f aca="false">Person_Data!H184</f>
        <v>48.1</v>
      </c>
      <c r="H184" s="2" t="str">
        <f aca="false">IF(G184&gt;=65,"HIGH",IF(G184&gt;=50,"MEDIUM","LOW"))</f>
        <v>LOW</v>
      </c>
    </row>
    <row r="185" customFormat="false" ht="15" hidden="false" customHeight="false" outlineLevel="0" collapsed="false">
      <c r="A185" s="2" t="str">
        <f aca="false">Person_Data!A185</f>
        <v>G10758</v>
      </c>
      <c r="B185" s="2" t="str">
        <f aca="false">Person_Data!C185</f>
        <v>Senior Warrant Officer</v>
      </c>
      <c r="C185" s="5" t="n">
        <f aca="false">Person_Data!D185</f>
        <v>15.89</v>
      </c>
      <c r="D185" s="2" t="n">
        <f aca="false">INDEX(Rank_Rules!$B$2:$B$9,MATCH(B185,Rank_Rules!$A$2:$A$9,0))</f>
        <v>5</v>
      </c>
      <c r="E185" s="2" t="n">
        <f aca="false">INDEX(Rank_Rules!$C$2:$C$9,MATCH(B185,Rank_Rules!$A$2:$A$9,0))</f>
        <v>20</v>
      </c>
      <c r="F185" s="2" t="str">
        <f aca="false">IF(AND(C185&gt;=D185,C185&lt;=E185),"OK","MISMATCH")</f>
        <v>OK</v>
      </c>
      <c r="G185" s="6" t="n">
        <f aca="false">Person_Data!H185</f>
        <v>48.1</v>
      </c>
      <c r="H185" s="2" t="str">
        <f aca="false">IF(G185&gt;=65,"HIGH",IF(G185&gt;=50,"MEDIUM","LOW"))</f>
        <v>LOW</v>
      </c>
    </row>
    <row r="186" customFormat="false" ht="15" hidden="false" customHeight="false" outlineLevel="0" collapsed="false">
      <c r="A186" s="2" t="str">
        <f aca="false">Person_Data!A186</f>
        <v>G08002</v>
      </c>
      <c r="B186" s="2" t="str">
        <f aca="false">Person_Data!C186</f>
        <v>Senior Warrant Officer</v>
      </c>
      <c r="C186" s="5" t="n">
        <f aca="false">Person_Data!D186</f>
        <v>17.77</v>
      </c>
      <c r="D186" s="2" t="n">
        <f aca="false">INDEX(Rank_Rules!$B$2:$B$9,MATCH(B186,Rank_Rules!$A$2:$A$9,0))</f>
        <v>5</v>
      </c>
      <c r="E186" s="2" t="n">
        <f aca="false">INDEX(Rank_Rules!$C$2:$C$9,MATCH(B186,Rank_Rules!$A$2:$A$9,0))</f>
        <v>20</v>
      </c>
      <c r="F186" s="2" t="str">
        <f aca="false">IF(AND(C186&gt;=D186,C186&lt;=E186),"OK","MISMATCH")</f>
        <v>OK</v>
      </c>
      <c r="G186" s="6" t="n">
        <f aca="false">Person_Data!H186</f>
        <v>48.1</v>
      </c>
      <c r="H186" s="2" t="str">
        <f aca="false">IF(G186&gt;=65,"HIGH",IF(G186&gt;=50,"MEDIUM","LOW"))</f>
        <v>LOW</v>
      </c>
    </row>
    <row r="187" customFormat="false" ht="15" hidden="false" customHeight="false" outlineLevel="0" collapsed="false">
      <c r="A187" s="2" t="str">
        <f aca="false">Person_Data!A187</f>
        <v>G24250</v>
      </c>
      <c r="B187" s="2" t="str">
        <f aca="false">Person_Data!C187</f>
        <v>Junior Warrant Officer</v>
      </c>
      <c r="C187" s="5" t="n">
        <f aca="false">Person_Data!D187</f>
        <v>2.23</v>
      </c>
      <c r="D187" s="2" t="n">
        <f aca="false">INDEX(Rank_Rules!$B$2:$B$9,MATCH(B187,Rank_Rules!$A$2:$A$9,0))</f>
        <v>1</v>
      </c>
      <c r="E187" s="2" t="n">
        <f aca="false">INDEX(Rank_Rules!$C$2:$C$9,MATCH(B187,Rank_Rules!$A$2:$A$9,0))</f>
        <v>3</v>
      </c>
      <c r="F187" s="2" t="str">
        <f aca="false">IF(AND(C187&gt;=D187,C187&lt;=E187),"OK","MISMATCH")</f>
        <v>OK</v>
      </c>
      <c r="G187" s="6" t="n">
        <f aca="false">Person_Data!H187</f>
        <v>45.3</v>
      </c>
      <c r="H187" s="2" t="str">
        <f aca="false">IF(G187&gt;=65,"HIGH",IF(G187&gt;=50,"MEDIUM","LOW"))</f>
        <v>LOW</v>
      </c>
    </row>
    <row r="188" customFormat="false" ht="15" hidden="false" customHeight="false" outlineLevel="0" collapsed="false">
      <c r="A188" s="2" t="str">
        <f aca="false">Person_Data!A188</f>
        <v>G24010</v>
      </c>
      <c r="B188" s="2" t="str">
        <f aca="false">Person_Data!C188</f>
        <v>Junior Warrant Officer</v>
      </c>
      <c r="C188" s="5" t="n">
        <f aca="false">Person_Data!D188</f>
        <v>2.34</v>
      </c>
      <c r="D188" s="2" t="n">
        <f aca="false">INDEX(Rank_Rules!$B$2:$B$9,MATCH(B188,Rank_Rules!$A$2:$A$9,0))</f>
        <v>1</v>
      </c>
      <c r="E188" s="2" t="n">
        <f aca="false">INDEX(Rank_Rules!$C$2:$C$9,MATCH(B188,Rank_Rules!$A$2:$A$9,0))</f>
        <v>3</v>
      </c>
      <c r="F188" s="2" t="str">
        <f aca="false">IF(AND(C188&gt;=D188,C188&lt;=E188),"OK","MISMATCH")</f>
        <v>OK</v>
      </c>
      <c r="G188" s="6" t="n">
        <f aca="false">Person_Data!H188</f>
        <v>48.1</v>
      </c>
      <c r="H188" s="2" t="str">
        <f aca="false">IF(G188&gt;=65,"HIGH",IF(G188&gt;=50,"MEDIUM","LOW"))</f>
        <v>LOW</v>
      </c>
    </row>
    <row r="189" customFormat="false" ht="15" hidden="false" customHeight="false" outlineLevel="0" collapsed="false">
      <c r="A189" s="2" t="str">
        <f aca="false">Person_Data!A189</f>
        <v>G24043</v>
      </c>
      <c r="B189" s="2" t="str">
        <f aca="false">Person_Data!C189</f>
        <v>Junior Warrant Officer</v>
      </c>
      <c r="C189" s="5" t="n">
        <f aca="false">Person_Data!D189</f>
        <v>2.5</v>
      </c>
      <c r="D189" s="2" t="n">
        <f aca="false">INDEX(Rank_Rules!$B$2:$B$9,MATCH(B189,Rank_Rules!$A$2:$A$9,0))</f>
        <v>1</v>
      </c>
      <c r="E189" s="2" t="n">
        <f aca="false">INDEX(Rank_Rules!$C$2:$C$9,MATCH(B189,Rank_Rules!$A$2:$A$9,0))</f>
        <v>3</v>
      </c>
      <c r="F189" s="2" t="str">
        <f aca="false">IF(AND(C189&gt;=D189,C189&lt;=E189),"OK","MISMATCH")</f>
        <v>OK</v>
      </c>
      <c r="G189" s="6" t="n">
        <f aca="false">Person_Data!H189</f>
        <v>48.1</v>
      </c>
      <c r="H189" s="2" t="str">
        <f aca="false">IF(G189&gt;=65,"HIGH",IF(G189&gt;=50,"MEDIUM","LOW"))</f>
        <v>LOW</v>
      </c>
    </row>
    <row r="190" customFormat="false" ht="15" hidden="false" customHeight="false" outlineLevel="0" collapsed="false">
      <c r="A190" s="2" t="str">
        <f aca="false">Person_Data!A190</f>
        <v>G22635</v>
      </c>
      <c r="B190" s="2" t="str">
        <f aca="false">Person_Data!C190</f>
        <v>Warrant Officer</v>
      </c>
      <c r="C190" s="5" t="n">
        <f aca="false">Person_Data!D190</f>
        <v>4.29</v>
      </c>
      <c r="D190" s="2" t="n">
        <f aca="false">INDEX(Rank_Rules!$B$2:$B$9,MATCH(B190,Rank_Rules!$A$2:$A$9,0))</f>
        <v>3</v>
      </c>
      <c r="E190" s="2" t="n">
        <f aca="false">INDEX(Rank_Rules!$C$2:$C$9,MATCH(B190,Rank_Rules!$A$2:$A$9,0))</f>
        <v>5</v>
      </c>
      <c r="F190" s="2" t="str">
        <f aca="false">IF(AND(C190&gt;=D190,C190&lt;=E190),"OK","MISMATCH")</f>
        <v>OK</v>
      </c>
      <c r="G190" s="6" t="n">
        <f aca="false">Person_Data!H190</f>
        <v>46.4</v>
      </c>
      <c r="H190" s="2" t="str">
        <f aca="false">IF(G190&gt;=65,"HIGH",IF(G190&gt;=50,"MEDIUM","LOW"))</f>
        <v>LOW</v>
      </c>
    </row>
    <row r="191" customFormat="false" ht="15" hidden="false" customHeight="false" outlineLevel="0" collapsed="false">
      <c r="A191" s="2" t="str">
        <f aca="false">Person_Data!A191</f>
        <v>G22413</v>
      </c>
      <c r="B191" s="2" t="str">
        <f aca="false">Person_Data!C191</f>
        <v>Warrant Officer</v>
      </c>
      <c r="C191" s="5" t="n">
        <f aca="false">Person_Data!D191</f>
        <v>3.5</v>
      </c>
      <c r="D191" s="2" t="n">
        <f aca="false">INDEX(Rank_Rules!$B$2:$B$9,MATCH(B191,Rank_Rules!$A$2:$A$9,0))</f>
        <v>3</v>
      </c>
      <c r="E191" s="2" t="n">
        <f aca="false">INDEX(Rank_Rules!$C$2:$C$9,MATCH(B191,Rank_Rules!$A$2:$A$9,0))</f>
        <v>5</v>
      </c>
      <c r="F191" s="2" t="str">
        <f aca="false">IF(AND(C191&gt;=D191,C191&lt;=E191),"OK","MISMATCH")</f>
        <v>OK</v>
      </c>
      <c r="G191" s="6" t="n">
        <f aca="false">Person_Data!H191</f>
        <v>48.1</v>
      </c>
      <c r="H191" s="2" t="str">
        <f aca="false">IF(G191&gt;=65,"HIGH",IF(G191&gt;=50,"MEDIUM","LOW"))</f>
        <v>LOW</v>
      </c>
    </row>
    <row r="192" customFormat="false" ht="15" hidden="false" customHeight="false" outlineLevel="0" collapsed="false">
      <c r="A192" s="2" t="str">
        <f aca="false">Person_Data!A192</f>
        <v>G21070</v>
      </c>
      <c r="B192" s="2" t="str">
        <f aca="false">Person_Data!C192</f>
        <v>Warrant Officer</v>
      </c>
      <c r="C192" s="5" t="n">
        <f aca="false">Person_Data!D192</f>
        <v>4.9</v>
      </c>
      <c r="D192" s="2" t="n">
        <f aca="false">INDEX(Rank_Rules!$B$2:$B$9,MATCH(B192,Rank_Rules!$A$2:$A$9,0))</f>
        <v>3</v>
      </c>
      <c r="E192" s="2" t="n">
        <f aca="false">INDEX(Rank_Rules!$C$2:$C$9,MATCH(B192,Rank_Rules!$A$2:$A$9,0))</f>
        <v>5</v>
      </c>
      <c r="F192" s="2" t="str">
        <f aca="false">IF(AND(C192&gt;=D192,C192&lt;=E192),"OK","MISMATCH")</f>
        <v>OK</v>
      </c>
      <c r="G192" s="6" t="n">
        <f aca="false">Person_Data!H192</f>
        <v>48.1</v>
      </c>
      <c r="H192" s="2" t="str">
        <f aca="false">IF(G192&gt;=65,"HIGH",IF(G192&gt;=50,"MEDIUM","LOW"))</f>
        <v>LOW</v>
      </c>
    </row>
    <row r="193" customFormat="false" ht="15" hidden="false" customHeight="false" outlineLevel="0" collapsed="false">
      <c r="A193" s="2" t="str">
        <f aca="false">Person_Data!A193</f>
        <v>G23299</v>
      </c>
      <c r="B193" s="2" t="str">
        <f aca="false">Person_Data!C193</f>
        <v>Warrant Officer</v>
      </c>
      <c r="C193" s="5" t="n">
        <f aca="false">Person_Data!D193</f>
        <v>3.47</v>
      </c>
      <c r="D193" s="2" t="n">
        <f aca="false">INDEX(Rank_Rules!$B$2:$B$9,MATCH(B193,Rank_Rules!$A$2:$A$9,0))</f>
        <v>3</v>
      </c>
      <c r="E193" s="2" t="n">
        <f aca="false">INDEX(Rank_Rules!$C$2:$C$9,MATCH(B193,Rank_Rules!$A$2:$A$9,0))</f>
        <v>5</v>
      </c>
      <c r="F193" s="2" t="str">
        <f aca="false">IF(AND(C193&gt;=D193,C193&lt;=E193),"OK","MISMATCH")</f>
        <v>OK</v>
      </c>
      <c r="G193" s="6" t="n">
        <f aca="false">Person_Data!H193</f>
        <v>48.1</v>
      </c>
      <c r="H193" s="2" t="str">
        <f aca="false">IF(G193&gt;=65,"HIGH",IF(G193&gt;=50,"MEDIUM","LOW"))</f>
        <v>LOW</v>
      </c>
    </row>
    <row r="194" customFormat="false" ht="15" hidden="false" customHeight="false" outlineLevel="0" collapsed="false">
      <c r="A194" s="2" t="str">
        <f aca="false">Person_Data!A194</f>
        <v>G25915</v>
      </c>
      <c r="B194" s="2" t="str">
        <f aca="false">Person_Data!C194</f>
        <v>Junior Warrant Officer</v>
      </c>
      <c r="C194" s="5" t="n">
        <f aca="false">Person_Data!D194</f>
        <v>1.39</v>
      </c>
      <c r="D194" s="2" t="n">
        <f aca="false">INDEX(Rank_Rules!$B$2:$B$9,MATCH(B194,Rank_Rules!$A$2:$A$9,0))</f>
        <v>1</v>
      </c>
      <c r="E194" s="2" t="n">
        <f aca="false">INDEX(Rank_Rules!$C$2:$C$9,MATCH(B194,Rank_Rules!$A$2:$A$9,0))</f>
        <v>3</v>
      </c>
      <c r="F194" s="2" t="str">
        <f aca="false">IF(AND(C194&gt;=D194,C194&lt;=E194),"OK","MISMATCH")</f>
        <v>OK</v>
      </c>
      <c r="G194" s="6" t="n">
        <f aca="false">Person_Data!H194</f>
        <v>57.4</v>
      </c>
      <c r="H194" s="2" t="str">
        <f aca="false">IF(G194&gt;=65,"HIGH",IF(G194&gt;=50,"MEDIUM","LOW"))</f>
        <v>MEDIUM</v>
      </c>
    </row>
    <row r="195" customFormat="false" ht="15" hidden="false" customHeight="false" outlineLevel="0" collapsed="false">
      <c r="A195" s="2" t="str">
        <f aca="false">Person_Data!A195</f>
        <v>G22473</v>
      </c>
      <c r="B195" s="2" t="str">
        <f aca="false">Person_Data!C195</f>
        <v>Warrant Officer</v>
      </c>
      <c r="C195" s="5" t="n">
        <f aca="false">Person_Data!D195</f>
        <v>4.32</v>
      </c>
      <c r="D195" s="2" t="n">
        <f aca="false">INDEX(Rank_Rules!$B$2:$B$9,MATCH(B195,Rank_Rules!$A$2:$A$9,0))</f>
        <v>3</v>
      </c>
      <c r="E195" s="2" t="n">
        <f aca="false">INDEX(Rank_Rules!$C$2:$C$9,MATCH(B195,Rank_Rules!$A$2:$A$9,0))</f>
        <v>5</v>
      </c>
      <c r="F195" s="2" t="str">
        <f aca="false">IF(AND(C195&gt;=D195,C195&lt;=E195),"OK","MISMATCH")</f>
        <v>OK</v>
      </c>
      <c r="G195" s="6" t="n">
        <f aca="false">Person_Data!H195</f>
        <v>48.1</v>
      </c>
      <c r="H195" s="2" t="str">
        <f aca="false">IF(G195&gt;=65,"HIGH",IF(G195&gt;=50,"MEDIUM","LOW"))</f>
        <v>LOW</v>
      </c>
    </row>
    <row r="196" customFormat="false" ht="15" hidden="false" customHeight="false" outlineLevel="0" collapsed="false">
      <c r="A196" s="2" t="str">
        <f aca="false">Person_Data!A196</f>
        <v>G24309</v>
      </c>
      <c r="B196" s="2" t="str">
        <f aca="false">Person_Data!C196</f>
        <v>Junior Warrant Officer</v>
      </c>
      <c r="C196" s="5" t="n">
        <f aca="false">Person_Data!D196</f>
        <v>2.13</v>
      </c>
      <c r="D196" s="2" t="n">
        <f aca="false">INDEX(Rank_Rules!$B$2:$B$9,MATCH(B196,Rank_Rules!$A$2:$A$9,0))</f>
        <v>1</v>
      </c>
      <c r="E196" s="2" t="n">
        <f aca="false">INDEX(Rank_Rules!$C$2:$C$9,MATCH(B196,Rank_Rules!$A$2:$A$9,0))</f>
        <v>3</v>
      </c>
      <c r="F196" s="2" t="str">
        <f aca="false">IF(AND(C196&gt;=D196,C196&lt;=E196),"OK","MISMATCH")</f>
        <v>OK</v>
      </c>
      <c r="G196" s="6" t="n">
        <f aca="false">Person_Data!H196</f>
        <v>60.1</v>
      </c>
      <c r="H196" s="2" t="str">
        <f aca="false">IF(G196&gt;=65,"HIGH",IF(G196&gt;=50,"MEDIUM","LOW"))</f>
        <v>MEDIUM</v>
      </c>
    </row>
    <row r="197" customFormat="false" ht="15" hidden="false" customHeight="false" outlineLevel="0" collapsed="false">
      <c r="A197" s="2" t="str">
        <f aca="false">Person_Data!A197</f>
        <v>G18175</v>
      </c>
      <c r="B197" s="2" t="str">
        <f aca="false">Person_Data!C197</f>
        <v>Senior Warrant Officer</v>
      </c>
      <c r="C197" s="5" t="n">
        <f aca="false">Person_Data!D197</f>
        <v>7.53</v>
      </c>
      <c r="D197" s="2" t="n">
        <f aca="false">INDEX(Rank_Rules!$B$2:$B$9,MATCH(B197,Rank_Rules!$A$2:$A$9,0))</f>
        <v>5</v>
      </c>
      <c r="E197" s="2" t="n">
        <f aca="false">INDEX(Rank_Rules!$C$2:$C$9,MATCH(B197,Rank_Rules!$A$2:$A$9,0))</f>
        <v>20</v>
      </c>
      <c r="F197" s="2" t="str">
        <f aca="false">IF(AND(C197&gt;=D197,C197&lt;=E197),"OK","MISMATCH")</f>
        <v>OK</v>
      </c>
      <c r="G197" s="6" t="n">
        <f aca="false">Person_Data!H197</f>
        <v>48.1</v>
      </c>
      <c r="H197" s="2" t="str">
        <f aca="false">IF(G197&gt;=65,"HIGH",IF(G197&gt;=50,"MEDIUM","LOW"))</f>
        <v>LOW</v>
      </c>
    </row>
    <row r="198" customFormat="false" ht="15" hidden="false" customHeight="false" outlineLevel="0" collapsed="false">
      <c r="A198" s="2" t="str">
        <f aca="false">Person_Data!A198</f>
        <v>G10138</v>
      </c>
      <c r="B198" s="2" t="str">
        <f aca="false">Person_Data!C198</f>
        <v>Senior Warrant Officer</v>
      </c>
      <c r="C198" s="5" t="n">
        <f aca="false">Person_Data!D198</f>
        <v>15.68</v>
      </c>
      <c r="D198" s="2" t="n">
        <f aca="false">INDEX(Rank_Rules!$B$2:$B$9,MATCH(B198,Rank_Rules!$A$2:$A$9,0))</f>
        <v>5</v>
      </c>
      <c r="E198" s="2" t="n">
        <f aca="false">INDEX(Rank_Rules!$C$2:$C$9,MATCH(B198,Rank_Rules!$A$2:$A$9,0))</f>
        <v>20</v>
      </c>
      <c r="F198" s="2" t="str">
        <f aca="false">IF(AND(C198&gt;=D198,C198&lt;=E198),"OK","MISMATCH")</f>
        <v>OK</v>
      </c>
      <c r="G198" s="6" t="n">
        <f aca="false">Person_Data!H198</f>
        <v>48.1</v>
      </c>
      <c r="H198" s="2" t="str">
        <f aca="false">IF(G198&gt;=65,"HIGH",IF(G198&gt;=50,"MEDIUM","LOW"))</f>
        <v>LOW</v>
      </c>
    </row>
    <row r="199" customFormat="false" ht="15" hidden="false" customHeight="false" outlineLevel="0" collapsed="false">
      <c r="A199" s="2" t="str">
        <f aca="false">Person_Data!A199</f>
        <v>G24284</v>
      </c>
      <c r="B199" s="2" t="str">
        <f aca="false">Person_Data!C199</f>
        <v>Junior Warrant Officer</v>
      </c>
      <c r="C199" s="5" t="n">
        <f aca="false">Person_Data!D199</f>
        <v>1.72</v>
      </c>
      <c r="D199" s="2" t="n">
        <f aca="false">INDEX(Rank_Rules!$B$2:$B$9,MATCH(B199,Rank_Rules!$A$2:$A$9,0))</f>
        <v>1</v>
      </c>
      <c r="E199" s="2" t="n">
        <f aca="false">INDEX(Rank_Rules!$C$2:$C$9,MATCH(B199,Rank_Rules!$A$2:$A$9,0))</f>
        <v>3</v>
      </c>
      <c r="F199" s="2" t="str">
        <f aca="false">IF(AND(C199&gt;=D199,C199&lt;=E199),"OK","MISMATCH")</f>
        <v>OK</v>
      </c>
      <c r="G199" s="6" t="n">
        <f aca="false">Person_Data!H199</f>
        <v>60.1</v>
      </c>
      <c r="H199" s="2" t="str">
        <f aca="false">IF(G199&gt;=65,"HIGH",IF(G199&gt;=50,"MEDIUM","LOW"))</f>
        <v>MEDIUM</v>
      </c>
    </row>
    <row r="200" customFormat="false" ht="15" hidden="false" customHeight="false" outlineLevel="0" collapsed="false">
      <c r="A200" s="2" t="str">
        <f aca="false">Person_Data!A200</f>
        <v>G22544</v>
      </c>
      <c r="B200" s="2" t="str">
        <f aca="false">Person_Data!C200</f>
        <v>Warrant Officer</v>
      </c>
      <c r="C200" s="5" t="n">
        <f aca="false">Person_Data!D200</f>
        <v>3.96</v>
      </c>
      <c r="D200" s="2" t="n">
        <f aca="false">INDEX(Rank_Rules!$B$2:$B$9,MATCH(B200,Rank_Rules!$A$2:$A$9,0))</f>
        <v>3</v>
      </c>
      <c r="E200" s="2" t="n">
        <f aca="false">INDEX(Rank_Rules!$C$2:$C$9,MATCH(B200,Rank_Rules!$A$2:$A$9,0))</f>
        <v>5</v>
      </c>
      <c r="F200" s="2" t="str">
        <f aca="false">IF(AND(C200&gt;=D200,C200&lt;=E200),"OK","MISMATCH")</f>
        <v>OK</v>
      </c>
      <c r="G200" s="6" t="n">
        <f aca="false">Person_Data!H200</f>
        <v>44.9</v>
      </c>
      <c r="H200" s="2" t="str">
        <f aca="false">IF(G200&gt;=65,"HIGH",IF(G200&gt;=50,"MEDIUM","LOW"))</f>
        <v>LOW</v>
      </c>
    </row>
    <row r="201" customFormat="false" ht="15" hidden="false" customHeight="false" outlineLevel="0" collapsed="false">
      <c r="A201" s="2" t="str">
        <f aca="false">Person_Data!A201</f>
        <v>G14731</v>
      </c>
      <c r="B201" s="2" t="str">
        <f aca="false">Person_Data!C201</f>
        <v>Senior Warrant Officer</v>
      </c>
      <c r="C201" s="5" t="n">
        <f aca="false">Person_Data!D201</f>
        <v>12.3</v>
      </c>
      <c r="D201" s="2" t="n">
        <f aca="false">INDEX(Rank_Rules!$B$2:$B$9,MATCH(B201,Rank_Rules!$A$2:$A$9,0))</f>
        <v>5</v>
      </c>
      <c r="E201" s="2" t="n">
        <f aca="false">INDEX(Rank_Rules!$C$2:$C$9,MATCH(B201,Rank_Rules!$A$2:$A$9,0))</f>
        <v>20</v>
      </c>
      <c r="F201" s="2" t="str">
        <f aca="false">IF(AND(C201&gt;=D201,C201&lt;=E201),"OK","MISMATCH")</f>
        <v>OK</v>
      </c>
      <c r="G201" s="6" t="n">
        <f aca="false">Person_Data!H201</f>
        <v>57.4</v>
      </c>
      <c r="H201" s="2" t="str">
        <f aca="false">IF(G201&gt;=65,"HIGH",IF(G201&gt;=50,"MEDIUM","LOW"))</f>
        <v>MEDIUM</v>
      </c>
    </row>
    <row r="202" customFormat="false" ht="15" hidden="false" customHeight="false" outlineLevel="0" collapsed="false">
      <c r="A202" s="2" t="str">
        <f aca="false">Person_Data!A202</f>
        <v>G23763</v>
      </c>
      <c r="B202" s="2" t="str">
        <f aca="false">Person_Data!C202</f>
        <v>Warrant Officer</v>
      </c>
      <c r="C202" s="5" t="n">
        <f aca="false">Person_Data!D202</f>
        <v>3.16</v>
      </c>
      <c r="D202" s="2" t="n">
        <f aca="false">INDEX(Rank_Rules!$B$2:$B$9,MATCH(B202,Rank_Rules!$A$2:$A$9,0))</f>
        <v>3</v>
      </c>
      <c r="E202" s="2" t="n">
        <f aca="false">INDEX(Rank_Rules!$C$2:$C$9,MATCH(B202,Rank_Rules!$A$2:$A$9,0))</f>
        <v>5</v>
      </c>
      <c r="F202" s="2" t="str">
        <f aca="false">IF(AND(C202&gt;=D202,C202&lt;=E202),"OK","MISMATCH")</f>
        <v>OK</v>
      </c>
      <c r="G202" s="6" t="n">
        <f aca="false">Person_Data!H202</f>
        <v>46.1</v>
      </c>
      <c r="H202" s="2" t="str">
        <f aca="false">IF(G202&gt;=65,"HIGH",IF(G202&gt;=50,"MEDIUM","LOW"))</f>
        <v>LOW</v>
      </c>
    </row>
    <row r="203" customFormat="false" ht="15" hidden="false" customHeight="false" outlineLevel="0" collapsed="false">
      <c r="A203" s="2" t="str">
        <f aca="false">Person_Data!A203</f>
        <v>G08568</v>
      </c>
      <c r="B203" s="2" t="str">
        <f aca="false">Person_Data!C203</f>
        <v>Senior Warrant Officer</v>
      </c>
      <c r="C203" s="5" t="n">
        <f aca="false">Person_Data!D203</f>
        <v>18.37</v>
      </c>
      <c r="D203" s="2" t="n">
        <f aca="false">INDEX(Rank_Rules!$B$2:$B$9,MATCH(B203,Rank_Rules!$A$2:$A$9,0))</f>
        <v>5</v>
      </c>
      <c r="E203" s="2" t="n">
        <f aca="false">INDEX(Rank_Rules!$C$2:$C$9,MATCH(B203,Rank_Rules!$A$2:$A$9,0))</f>
        <v>20</v>
      </c>
      <c r="F203" s="2" t="str">
        <f aca="false">IF(AND(C203&gt;=D203,C203&lt;=E203),"OK","MISMATCH")</f>
        <v>OK</v>
      </c>
      <c r="G203" s="6" t="n">
        <f aca="false">Person_Data!H203</f>
        <v>46.4</v>
      </c>
      <c r="H203" s="2" t="str">
        <f aca="false">IF(G203&gt;=65,"HIGH",IF(G203&gt;=50,"MEDIUM","LOW"))</f>
        <v>LOW</v>
      </c>
    </row>
    <row r="204" customFormat="false" ht="15" hidden="false" customHeight="false" outlineLevel="0" collapsed="false">
      <c r="A204" s="2" t="str">
        <f aca="false">Person_Data!A204</f>
        <v>G12593</v>
      </c>
      <c r="B204" s="2" t="str">
        <f aca="false">Person_Data!C204</f>
        <v>Senior Warrant Officer</v>
      </c>
      <c r="C204" s="5" t="n">
        <f aca="false">Person_Data!D204</f>
        <v>14.4</v>
      </c>
      <c r="D204" s="2" t="n">
        <f aca="false">INDEX(Rank_Rules!$B$2:$B$9,MATCH(B204,Rank_Rules!$A$2:$A$9,0))</f>
        <v>5</v>
      </c>
      <c r="E204" s="2" t="n">
        <f aca="false">INDEX(Rank_Rules!$C$2:$C$9,MATCH(B204,Rank_Rules!$A$2:$A$9,0))</f>
        <v>20</v>
      </c>
      <c r="F204" s="2" t="str">
        <f aca="false">IF(AND(C204&gt;=D204,C204&lt;=E204),"OK","MISMATCH")</f>
        <v>OK</v>
      </c>
      <c r="G204" s="6" t="n">
        <f aca="false">Person_Data!H204</f>
        <v>57.4</v>
      </c>
      <c r="H204" s="2" t="str">
        <f aca="false">IF(G204&gt;=65,"HIGH",IF(G204&gt;=50,"MEDIUM","LOW"))</f>
        <v>MEDIUM</v>
      </c>
    </row>
    <row r="205" customFormat="false" ht="15" hidden="false" customHeight="false" outlineLevel="0" collapsed="false">
      <c r="A205" s="2" t="str">
        <f aca="false">Person_Data!A205</f>
        <v>G08962</v>
      </c>
      <c r="B205" s="2" t="str">
        <f aca="false">Person_Data!C205</f>
        <v>Senior Warrant Officer</v>
      </c>
      <c r="C205" s="5" t="n">
        <f aca="false">Person_Data!D205</f>
        <v>17.74</v>
      </c>
      <c r="D205" s="2" t="n">
        <f aca="false">INDEX(Rank_Rules!$B$2:$B$9,MATCH(B205,Rank_Rules!$A$2:$A$9,0))</f>
        <v>5</v>
      </c>
      <c r="E205" s="2" t="n">
        <f aca="false">INDEX(Rank_Rules!$C$2:$C$9,MATCH(B205,Rank_Rules!$A$2:$A$9,0))</f>
        <v>20</v>
      </c>
      <c r="F205" s="2" t="str">
        <f aca="false">IF(AND(C205&gt;=D205,C205&lt;=E205),"OK","MISMATCH")</f>
        <v>OK</v>
      </c>
      <c r="G205" s="6" t="n">
        <f aca="false">Person_Data!H205</f>
        <v>48.1</v>
      </c>
      <c r="H205" s="2" t="str">
        <f aca="false">IF(G205&gt;=65,"HIGH",IF(G205&gt;=50,"MEDIUM","LOW"))</f>
        <v>LOW</v>
      </c>
    </row>
    <row r="206" customFormat="false" ht="15" hidden="false" customHeight="false" outlineLevel="0" collapsed="false">
      <c r="A206" s="2" t="str">
        <f aca="false">Person_Data!A206</f>
        <v>G12425</v>
      </c>
      <c r="B206" s="2" t="str">
        <f aca="false">Person_Data!C206</f>
        <v>Senior Warrant Officer</v>
      </c>
      <c r="C206" s="5" t="n">
        <f aca="false">Person_Data!D206</f>
        <v>13.68</v>
      </c>
      <c r="D206" s="2" t="n">
        <f aca="false">INDEX(Rank_Rules!$B$2:$B$9,MATCH(B206,Rank_Rules!$A$2:$A$9,0))</f>
        <v>5</v>
      </c>
      <c r="E206" s="2" t="n">
        <f aca="false">INDEX(Rank_Rules!$C$2:$C$9,MATCH(B206,Rank_Rules!$A$2:$A$9,0))</f>
        <v>20</v>
      </c>
      <c r="F206" s="2" t="str">
        <f aca="false">IF(AND(C206&gt;=D206,C206&lt;=E206),"OK","MISMATCH")</f>
        <v>OK</v>
      </c>
      <c r="G206" s="6" t="n">
        <f aca="false">Person_Data!H206</f>
        <v>48.1</v>
      </c>
      <c r="H206" s="2" t="str">
        <f aca="false">IF(G206&gt;=65,"HIGH",IF(G206&gt;=50,"MEDIUM","LOW"))</f>
        <v>LOW</v>
      </c>
    </row>
    <row r="207" customFormat="false" ht="15" hidden="false" customHeight="false" outlineLevel="0" collapsed="false">
      <c r="A207" s="2" t="str">
        <f aca="false">Person_Data!A207</f>
        <v>G25778</v>
      </c>
      <c r="B207" s="2" t="str">
        <f aca="false">Person_Data!C207</f>
        <v>Junior Warrant Officer</v>
      </c>
      <c r="C207" s="5" t="n">
        <f aca="false">Person_Data!D207</f>
        <v>1.07</v>
      </c>
      <c r="D207" s="2" t="n">
        <f aca="false">INDEX(Rank_Rules!$B$2:$B$9,MATCH(B207,Rank_Rules!$A$2:$A$9,0))</f>
        <v>1</v>
      </c>
      <c r="E207" s="2" t="n">
        <f aca="false">INDEX(Rank_Rules!$C$2:$C$9,MATCH(B207,Rank_Rules!$A$2:$A$9,0))</f>
        <v>3</v>
      </c>
      <c r="F207" s="2" t="str">
        <f aca="false">IF(AND(C207&gt;=D207,C207&lt;=E207),"OK","MISMATCH")</f>
        <v>OK</v>
      </c>
      <c r="G207" s="6" t="n">
        <f aca="false">Person_Data!H207</f>
        <v>57.4</v>
      </c>
      <c r="H207" s="2" t="str">
        <f aca="false">IF(G207&gt;=65,"HIGH",IF(G207&gt;=50,"MEDIUM","LOW"))</f>
        <v>MEDIUM</v>
      </c>
    </row>
    <row r="208" customFormat="false" ht="15" hidden="false" customHeight="false" outlineLevel="0" collapsed="false">
      <c r="A208" s="2" t="str">
        <f aca="false">Person_Data!A208</f>
        <v>G13609</v>
      </c>
      <c r="B208" s="2" t="str">
        <f aca="false">Person_Data!C208</f>
        <v>Senior Warrant Officer</v>
      </c>
      <c r="C208" s="5" t="n">
        <f aca="false">Person_Data!D208</f>
        <v>13.1</v>
      </c>
      <c r="D208" s="2" t="n">
        <f aca="false">INDEX(Rank_Rules!$B$2:$B$9,MATCH(B208,Rank_Rules!$A$2:$A$9,0))</f>
        <v>5</v>
      </c>
      <c r="E208" s="2" t="n">
        <f aca="false">INDEX(Rank_Rules!$C$2:$C$9,MATCH(B208,Rank_Rules!$A$2:$A$9,0))</f>
        <v>20</v>
      </c>
      <c r="F208" s="2" t="str">
        <f aca="false">IF(AND(C208&gt;=D208,C208&lt;=E208),"OK","MISMATCH")</f>
        <v>OK</v>
      </c>
      <c r="G208" s="6" t="n">
        <f aca="false">Person_Data!H208</f>
        <v>48.1</v>
      </c>
      <c r="H208" s="2" t="str">
        <f aca="false">IF(G208&gt;=65,"HIGH",IF(G208&gt;=50,"MEDIUM","LOW"))</f>
        <v>LOW</v>
      </c>
    </row>
    <row r="209" customFormat="false" ht="15" hidden="false" customHeight="false" outlineLevel="0" collapsed="false">
      <c r="A209" s="2" t="str">
        <f aca="false">Person_Data!A209</f>
        <v>G24580</v>
      </c>
      <c r="B209" s="2" t="str">
        <f aca="false">Person_Data!C209</f>
        <v>Junior Warrant Officer</v>
      </c>
      <c r="C209" s="5" t="n">
        <f aca="false">Person_Data!D209</f>
        <v>1.78</v>
      </c>
      <c r="D209" s="2" t="n">
        <f aca="false">INDEX(Rank_Rules!$B$2:$B$9,MATCH(B209,Rank_Rules!$A$2:$A$9,0))</f>
        <v>1</v>
      </c>
      <c r="E209" s="2" t="n">
        <f aca="false">INDEX(Rank_Rules!$C$2:$C$9,MATCH(B209,Rank_Rules!$A$2:$A$9,0))</f>
        <v>3</v>
      </c>
      <c r="F209" s="2" t="str">
        <f aca="false">IF(AND(C209&gt;=D209,C209&lt;=E209),"OK","MISMATCH")</f>
        <v>OK</v>
      </c>
      <c r="G209" s="6" t="n">
        <f aca="false">Person_Data!H209</f>
        <v>57.4</v>
      </c>
      <c r="H209" s="2" t="str">
        <f aca="false">IF(G209&gt;=65,"HIGH",IF(G209&gt;=50,"MEDIUM","LOW"))</f>
        <v>MEDIUM</v>
      </c>
    </row>
    <row r="210" customFormat="false" ht="15" hidden="false" customHeight="false" outlineLevel="0" collapsed="false">
      <c r="A210" s="2" t="str">
        <f aca="false">Person_Data!A210</f>
        <v>G21267</v>
      </c>
      <c r="B210" s="2" t="str">
        <f aca="false">Person_Data!C210</f>
        <v>Warrant Officer</v>
      </c>
      <c r="C210" s="5" t="n">
        <f aca="false">Person_Data!D210</f>
        <v>4.71</v>
      </c>
      <c r="D210" s="2" t="n">
        <f aca="false">INDEX(Rank_Rules!$B$2:$B$9,MATCH(B210,Rank_Rules!$A$2:$A$9,0))</f>
        <v>3</v>
      </c>
      <c r="E210" s="2" t="n">
        <f aca="false">INDEX(Rank_Rules!$C$2:$C$9,MATCH(B210,Rank_Rules!$A$2:$A$9,0))</f>
        <v>5</v>
      </c>
      <c r="F210" s="2" t="str">
        <f aca="false">IF(AND(C210&gt;=D210,C210&lt;=E210),"OK","MISMATCH")</f>
        <v>OK</v>
      </c>
      <c r="G210" s="6" t="n">
        <f aca="false">Person_Data!H210</f>
        <v>48.1</v>
      </c>
      <c r="H210" s="2" t="str">
        <f aca="false">IF(G210&gt;=65,"HIGH",IF(G210&gt;=50,"MEDIUM","LOW"))</f>
        <v>LOW</v>
      </c>
    </row>
    <row r="211" customFormat="false" ht="15" hidden="false" customHeight="false" outlineLevel="0" collapsed="false">
      <c r="A211" s="2" t="str">
        <f aca="false">Person_Data!A211</f>
        <v>G23226</v>
      </c>
      <c r="B211" s="2" t="str">
        <f aca="false">Person_Data!C211</f>
        <v>Warrant Officer</v>
      </c>
      <c r="C211" s="5" t="n">
        <f aca="false">Person_Data!D211</f>
        <v>3.18</v>
      </c>
      <c r="D211" s="2" t="n">
        <f aca="false">INDEX(Rank_Rules!$B$2:$B$9,MATCH(B211,Rank_Rules!$A$2:$A$9,0))</f>
        <v>3</v>
      </c>
      <c r="E211" s="2" t="n">
        <f aca="false">INDEX(Rank_Rules!$C$2:$C$9,MATCH(B211,Rank_Rules!$A$2:$A$9,0))</f>
        <v>5</v>
      </c>
      <c r="F211" s="2" t="str">
        <f aca="false">IF(AND(C211&gt;=D211,C211&lt;=E211),"OK","MISMATCH")</f>
        <v>OK</v>
      </c>
      <c r="G211" s="6" t="n">
        <f aca="false">Person_Data!H211</f>
        <v>48.1</v>
      </c>
      <c r="H211" s="2" t="str">
        <f aca="false">IF(G211&gt;=65,"HIGH",IF(G211&gt;=50,"MEDIUM","LOW"))</f>
        <v>LOW</v>
      </c>
    </row>
    <row r="212" customFormat="false" ht="15" hidden="false" customHeight="false" outlineLevel="0" collapsed="false">
      <c r="A212" s="2" t="str">
        <f aca="false">Person_Data!A212</f>
        <v>AO05709</v>
      </c>
      <c r="B212" s="2" t="str">
        <f aca="false">Person_Data!C212</f>
        <v>Lieutenant Colonel</v>
      </c>
      <c r="C212" s="5" t="n">
        <f aca="false">Person_Data!D212</f>
        <v>20.73</v>
      </c>
      <c r="D212" s="2" t="n">
        <f aca="false">INDEX(Rank_Rules!$B$2:$B$9,MATCH(B212,Rank_Rules!$A$2:$A$9,0))</f>
        <v>15</v>
      </c>
      <c r="E212" s="2" t="n">
        <f aca="false">INDEX(Rank_Rules!$C$2:$C$9,MATCH(B212,Rank_Rules!$A$2:$A$9,0))</f>
        <v>30</v>
      </c>
      <c r="F212" s="2" t="str">
        <f aca="false">IF(AND(C212&gt;=D212,C212&lt;=E212),"OK","MISMATCH")</f>
        <v>OK</v>
      </c>
      <c r="G212" s="6" t="n">
        <f aca="false">Person_Data!H212</f>
        <v>48.1</v>
      </c>
      <c r="H212" s="2" t="str">
        <f aca="false">IF(G212&gt;=65,"HIGH",IF(G212&gt;=50,"MEDIUM","LOW"))</f>
        <v>LOW</v>
      </c>
    </row>
    <row r="213" customFormat="false" ht="15" hidden="false" customHeight="false" outlineLevel="0" collapsed="false">
      <c r="A213" s="2" t="str">
        <f aca="false">Person_Data!A213</f>
        <v>AO12824</v>
      </c>
      <c r="B213" s="2" t="str">
        <f aca="false">Person_Data!C213</f>
        <v>Major</v>
      </c>
      <c r="C213" s="5" t="n">
        <f aca="false">Person_Data!D213</f>
        <v>13.63</v>
      </c>
      <c r="D213" s="2" t="n">
        <f aca="false">INDEX(Rank_Rules!$B$2:$B$9,MATCH(B213,Rank_Rules!$A$2:$A$9,0))</f>
        <v>12</v>
      </c>
      <c r="E213" s="2" t="n">
        <f aca="false">INDEX(Rank_Rules!$C$2:$C$9,MATCH(B213,Rank_Rules!$A$2:$A$9,0))</f>
        <v>15</v>
      </c>
      <c r="F213" s="2" t="str">
        <f aca="false">IF(AND(C213&gt;=D213,C213&lt;=E213),"OK","MISMATCH")</f>
        <v>OK</v>
      </c>
      <c r="G213" s="6" t="n">
        <f aca="false">Person_Data!H213</f>
        <v>68.3</v>
      </c>
      <c r="H213" s="2" t="str">
        <f aca="false">IF(G213&gt;=65,"HIGH",IF(G213&gt;=50,"MEDIUM","LOW"))</f>
        <v>HIGH</v>
      </c>
    </row>
    <row r="214" customFormat="false" ht="15" hidden="false" customHeight="false" outlineLevel="0" collapsed="false">
      <c r="A214" s="2" t="str">
        <f aca="false">Person_Data!A214</f>
        <v>AO16360</v>
      </c>
      <c r="B214" s="2" t="str">
        <f aca="false">Person_Data!C214</f>
        <v>Captain</v>
      </c>
      <c r="C214" s="5" t="n">
        <f aca="false">Person_Data!D214</f>
        <v>10.07</v>
      </c>
      <c r="D214" s="2" t="n">
        <f aca="false">INDEX(Rank_Rules!$B$2:$B$9,MATCH(B214,Rank_Rules!$A$2:$A$9,0))</f>
        <v>7</v>
      </c>
      <c r="E214" s="2" t="n">
        <f aca="false">INDEX(Rank_Rules!$C$2:$C$9,MATCH(B214,Rank_Rules!$A$2:$A$9,0))</f>
        <v>11</v>
      </c>
      <c r="F214" s="2" t="str">
        <f aca="false">IF(AND(C214&gt;=D214,C214&lt;=E214),"OK","MISMATCH")</f>
        <v>OK</v>
      </c>
      <c r="G214" s="6" t="n">
        <f aca="false">Person_Data!H214</f>
        <v>91.5</v>
      </c>
      <c r="H214" s="2" t="str">
        <f aca="false">IF(G214&gt;=65,"HIGH",IF(G214&gt;=50,"MEDIUM","LOW"))</f>
        <v>HIGH</v>
      </c>
    </row>
    <row r="215" customFormat="false" ht="15" hidden="false" customHeight="false" outlineLevel="0" collapsed="false">
      <c r="A215" s="2" t="str">
        <f aca="false">Person_Data!A215</f>
        <v>G11837</v>
      </c>
      <c r="B215" s="2" t="str">
        <f aca="false">Person_Data!C215</f>
        <v>Senior Warrant Officer</v>
      </c>
      <c r="C215" s="5" t="n">
        <f aca="false">Person_Data!D215</f>
        <v>15.18</v>
      </c>
      <c r="D215" s="2" t="n">
        <f aca="false">INDEX(Rank_Rules!$B$2:$B$9,MATCH(B215,Rank_Rules!$A$2:$A$9,0))</f>
        <v>5</v>
      </c>
      <c r="E215" s="2" t="n">
        <f aca="false">INDEX(Rank_Rules!$C$2:$C$9,MATCH(B215,Rank_Rules!$A$2:$A$9,0))</f>
        <v>20</v>
      </c>
      <c r="F215" s="2" t="str">
        <f aca="false">IF(AND(C215&gt;=D215,C215&lt;=E215),"OK","MISMATCH")</f>
        <v>OK</v>
      </c>
      <c r="G215" s="6" t="n">
        <f aca="false">Person_Data!H215</f>
        <v>48.1</v>
      </c>
      <c r="H215" s="2" t="str">
        <f aca="false">IF(G215&gt;=65,"HIGH",IF(G215&gt;=50,"MEDIUM","LOW"))</f>
        <v>LOW</v>
      </c>
    </row>
    <row r="216" customFormat="false" ht="15" hidden="false" customHeight="false" outlineLevel="0" collapsed="false">
      <c r="A216" s="2" t="str">
        <f aca="false">Person_Data!A216</f>
        <v>AO13387</v>
      </c>
      <c r="B216" s="2" t="str">
        <f aca="false">Person_Data!C216</f>
        <v>Major</v>
      </c>
      <c r="C216" s="5" t="n">
        <f aca="false">Person_Data!D216</f>
        <v>12.54</v>
      </c>
      <c r="D216" s="2" t="n">
        <f aca="false">INDEX(Rank_Rules!$B$2:$B$9,MATCH(B216,Rank_Rules!$A$2:$A$9,0))</f>
        <v>12</v>
      </c>
      <c r="E216" s="2" t="n">
        <f aca="false">INDEX(Rank_Rules!$C$2:$C$9,MATCH(B216,Rank_Rules!$A$2:$A$9,0))</f>
        <v>15</v>
      </c>
      <c r="F216" s="2" t="str">
        <f aca="false">IF(AND(C216&gt;=D216,C216&lt;=E216),"OK","MISMATCH")</f>
        <v>OK</v>
      </c>
      <c r="G216" s="6" t="n">
        <f aca="false">Person_Data!H216</f>
        <v>48.1</v>
      </c>
      <c r="H216" s="2" t="str">
        <f aca="false">IF(G216&gt;=65,"HIGH",IF(G216&gt;=50,"MEDIUM","LOW"))</f>
        <v>LOW</v>
      </c>
    </row>
    <row r="217" customFormat="false" ht="15" hidden="false" customHeight="false" outlineLevel="0" collapsed="false">
      <c r="A217" s="2" t="str">
        <f aca="false">Person_Data!A217</f>
        <v>AO18342</v>
      </c>
      <c r="B217" s="2" t="str">
        <f aca="false">Person_Data!C217</f>
        <v>Captain</v>
      </c>
      <c r="C217" s="5" t="n">
        <f aca="false">Person_Data!D217</f>
        <v>8.19</v>
      </c>
      <c r="D217" s="2" t="n">
        <f aca="false">INDEX(Rank_Rules!$B$2:$B$9,MATCH(B217,Rank_Rules!$A$2:$A$9,0))</f>
        <v>7</v>
      </c>
      <c r="E217" s="2" t="n">
        <f aca="false">INDEX(Rank_Rules!$C$2:$C$9,MATCH(B217,Rank_Rules!$A$2:$A$9,0))</f>
        <v>11</v>
      </c>
      <c r="F217" s="2" t="str">
        <f aca="false">IF(AND(C217&gt;=D217,C217&lt;=E217),"OK","MISMATCH")</f>
        <v>OK</v>
      </c>
      <c r="G217" s="6" t="n">
        <f aca="false">Person_Data!H217</f>
        <v>45.9</v>
      </c>
      <c r="H217" s="2" t="str">
        <f aca="false">IF(G217&gt;=65,"HIGH",IF(G217&gt;=50,"MEDIUM","LOW"))</f>
        <v>LOW</v>
      </c>
    </row>
    <row r="218" customFormat="false" ht="15" hidden="false" customHeight="false" outlineLevel="0" collapsed="false">
      <c r="A218" s="2" t="str">
        <f aca="false">Person_Data!A218</f>
        <v>AO23991</v>
      </c>
      <c r="B218" s="2" t="str">
        <f aca="false">Person_Data!C218</f>
        <v>Lieutenant</v>
      </c>
      <c r="C218" s="5" t="n">
        <f aca="false">Person_Data!D218</f>
        <v>2.79</v>
      </c>
      <c r="D218" s="2" t="n">
        <f aca="false">INDEX(Rank_Rules!$B$2:$B$9,MATCH(B218,Rank_Rules!$A$2:$A$9,0))</f>
        <v>1</v>
      </c>
      <c r="E218" s="2" t="n">
        <f aca="false">INDEX(Rank_Rules!$C$2:$C$9,MATCH(B218,Rank_Rules!$A$2:$A$9,0))</f>
        <v>3</v>
      </c>
      <c r="F218" s="2" t="str">
        <f aca="false">IF(AND(C218&gt;=D218,C218&lt;=E218),"OK","MISMATCH")</f>
        <v>OK</v>
      </c>
      <c r="G218" s="6" t="n">
        <f aca="false">Person_Data!H218</f>
        <v>57.6</v>
      </c>
      <c r="H218" s="2" t="str">
        <f aca="false">IF(G218&gt;=65,"HIGH",IF(G218&gt;=50,"MEDIUM","LOW"))</f>
        <v>MEDIUM</v>
      </c>
    </row>
    <row r="219" customFormat="false" ht="15" hidden="false" customHeight="false" outlineLevel="0" collapsed="false">
      <c r="A219" s="2" t="str">
        <f aca="false">Person_Data!A219</f>
        <v>AO11296</v>
      </c>
      <c r="B219" s="2" t="str">
        <f aca="false">Person_Data!C219</f>
        <v>Major</v>
      </c>
      <c r="C219" s="5" t="n">
        <f aca="false">Person_Data!D219</f>
        <v>14.7</v>
      </c>
      <c r="D219" s="2" t="n">
        <f aca="false">INDEX(Rank_Rules!$B$2:$B$9,MATCH(B219,Rank_Rules!$A$2:$A$9,0))</f>
        <v>12</v>
      </c>
      <c r="E219" s="2" t="n">
        <f aca="false">INDEX(Rank_Rules!$C$2:$C$9,MATCH(B219,Rank_Rules!$A$2:$A$9,0))</f>
        <v>15</v>
      </c>
      <c r="F219" s="2" t="str">
        <f aca="false">IF(AND(C219&gt;=D219,C219&lt;=E219),"OK","MISMATCH")</f>
        <v>OK</v>
      </c>
      <c r="G219" s="6" t="n">
        <f aca="false">Person_Data!H219</f>
        <v>66.4</v>
      </c>
      <c r="H219" s="2" t="str">
        <f aca="false">IF(G219&gt;=65,"HIGH",IF(G219&gt;=50,"MEDIUM","LOW"))</f>
        <v>HIGH</v>
      </c>
    </row>
    <row r="220" customFormat="false" ht="15" hidden="false" customHeight="false" outlineLevel="0" collapsed="false">
      <c r="A220" s="2" t="str">
        <f aca="false">Person_Data!A220</f>
        <v>AO24278</v>
      </c>
      <c r="B220" s="2" t="str">
        <f aca="false">Person_Data!C220</f>
        <v>Lieutenant</v>
      </c>
      <c r="C220" s="5" t="n">
        <f aca="false">Person_Data!D220</f>
        <v>2.19</v>
      </c>
      <c r="D220" s="2" t="n">
        <f aca="false">INDEX(Rank_Rules!$B$2:$B$9,MATCH(B220,Rank_Rules!$A$2:$A$9,0))</f>
        <v>1</v>
      </c>
      <c r="E220" s="2" t="n">
        <f aca="false">INDEX(Rank_Rules!$C$2:$C$9,MATCH(B220,Rank_Rules!$A$2:$A$9,0))</f>
        <v>3</v>
      </c>
      <c r="F220" s="2" t="str">
        <f aca="false">IF(AND(C220&gt;=D220,C220&lt;=E220),"OK","MISMATCH")</f>
        <v>OK</v>
      </c>
      <c r="G220" s="6" t="n">
        <f aca="false">Person_Data!H220</f>
        <v>40.7</v>
      </c>
      <c r="H220" s="2" t="str">
        <f aca="false">IF(G220&gt;=65,"HIGH",IF(G220&gt;=50,"MEDIUM","LOW"))</f>
        <v>LOW</v>
      </c>
    </row>
    <row r="221" customFormat="false" ht="15" hidden="false" customHeight="false" outlineLevel="0" collapsed="false">
      <c r="A221" s="2" t="str">
        <f aca="false">Person_Data!A221</f>
        <v>AO21963</v>
      </c>
      <c r="B221" s="2" t="str">
        <f aca="false">Person_Data!C221</f>
        <v>Senior Lieutenant</v>
      </c>
      <c r="C221" s="5" t="n">
        <f aca="false">Person_Data!D221</f>
        <v>5.01</v>
      </c>
      <c r="D221" s="2" t="n">
        <f aca="false">INDEX(Rank_Rules!$B$2:$B$9,MATCH(B221,Rank_Rules!$A$2:$A$9,0))</f>
        <v>4</v>
      </c>
      <c r="E221" s="2" t="n">
        <f aca="false">INDEX(Rank_Rules!$C$2:$C$9,MATCH(B221,Rank_Rules!$A$2:$A$9,0))</f>
        <v>6</v>
      </c>
      <c r="F221" s="2" t="str">
        <f aca="false">IF(AND(C221&gt;=D221,C221&lt;=E221),"OK","MISMATCH")</f>
        <v>OK</v>
      </c>
      <c r="G221" s="6" t="n">
        <f aca="false">Person_Data!H221</f>
        <v>51.8</v>
      </c>
      <c r="H221" s="2" t="str">
        <f aca="false">IF(G221&gt;=65,"HIGH",IF(G221&gt;=50,"MEDIUM","LOW"))</f>
        <v>MEDIUM</v>
      </c>
    </row>
    <row r="222" customFormat="false" ht="15" hidden="false" customHeight="false" outlineLevel="0" collapsed="false">
      <c r="A222" s="2" t="str">
        <f aca="false">Person_Data!A222</f>
        <v>AO24578</v>
      </c>
      <c r="B222" s="2" t="str">
        <f aca="false">Person_Data!C222</f>
        <v>Lieutenant</v>
      </c>
      <c r="C222" s="5" t="n">
        <f aca="false">Person_Data!D222</f>
        <v>1.64</v>
      </c>
      <c r="D222" s="2" t="n">
        <f aca="false">INDEX(Rank_Rules!$B$2:$B$9,MATCH(B222,Rank_Rules!$A$2:$A$9,0))</f>
        <v>1</v>
      </c>
      <c r="E222" s="2" t="n">
        <f aca="false">INDEX(Rank_Rules!$C$2:$C$9,MATCH(B222,Rank_Rules!$A$2:$A$9,0))</f>
        <v>3</v>
      </c>
      <c r="F222" s="2" t="str">
        <f aca="false">IF(AND(C222&gt;=D222,C222&lt;=E222),"OK","MISMATCH")</f>
        <v>OK</v>
      </c>
      <c r="G222" s="6" t="n">
        <f aca="false">Person_Data!H222</f>
        <v>52</v>
      </c>
      <c r="H222" s="2" t="str">
        <f aca="false">IF(G222&gt;=65,"HIGH",IF(G222&gt;=50,"MEDIUM","LOW"))</f>
        <v>MEDIUM</v>
      </c>
    </row>
    <row r="223" customFormat="false" ht="15" hidden="false" customHeight="false" outlineLevel="0" collapsed="false">
      <c r="A223" s="2" t="str">
        <f aca="false">Person_Data!A223</f>
        <v>AO25711</v>
      </c>
      <c r="B223" s="2" t="str">
        <f aca="false">Person_Data!C223</f>
        <v>Lieutenant</v>
      </c>
      <c r="C223" s="5" t="n">
        <f aca="false">Person_Data!D223</f>
        <v>1.06</v>
      </c>
      <c r="D223" s="2" t="n">
        <f aca="false">INDEX(Rank_Rules!$B$2:$B$9,MATCH(B223,Rank_Rules!$A$2:$A$9,0))</f>
        <v>1</v>
      </c>
      <c r="E223" s="2" t="n">
        <f aca="false">INDEX(Rank_Rules!$C$2:$C$9,MATCH(B223,Rank_Rules!$A$2:$A$9,0))</f>
        <v>3</v>
      </c>
      <c r="F223" s="2" t="str">
        <f aca="false">IF(AND(C223&gt;=D223,C223&lt;=E223),"OK","MISMATCH")</f>
        <v>OK</v>
      </c>
      <c r="G223" s="6" t="n">
        <f aca="false">Person_Data!H223</f>
        <v>36.9</v>
      </c>
      <c r="H223" s="2" t="str">
        <f aca="false">IF(G223&gt;=65,"HIGH",IF(G223&gt;=50,"MEDIUM","LOW"))</f>
        <v>LOW</v>
      </c>
    </row>
    <row r="224" customFormat="false" ht="15" hidden="false" customHeight="false" outlineLevel="0" collapsed="false">
      <c r="A224" s="2" t="str">
        <f aca="false">Person_Data!A224</f>
        <v>AO14187</v>
      </c>
      <c r="B224" s="2" t="str">
        <f aca="false">Person_Data!C224</f>
        <v>Major</v>
      </c>
      <c r="C224" s="5" t="n">
        <f aca="false">Person_Data!D224</f>
        <v>12.06</v>
      </c>
      <c r="D224" s="2" t="n">
        <f aca="false">INDEX(Rank_Rules!$B$2:$B$9,MATCH(B224,Rank_Rules!$A$2:$A$9,0))</f>
        <v>12</v>
      </c>
      <c r="E224" s="2" t="n">
        <f aca="false">INDEX(Rank_Rules!$C$2:$C$9,MATCH(B224,Rank_Rules!$A$2:$A$9,0))</f>
        <v>15</v>
      </c>
      <c r="F224" s="2" t="str">
        <f aca="false">IF(AND(C224&gt;=D224,C224&lt;=E224),"OK","MISMATCH")</f>
        <v>OK</v>
      </c>
      <c r="G224" s="6" t="n">
        <f aca="false">Person_Data!H224</f>
        <v>47.8</v>
      </c>
      <c r="H224" s="2" t="str">
        <f aca="false">IF(G224&gt;=65,"HIGH",IF(G224&gt;=50,"MEDIUM","LOW"))</f>
        <v>LOW</v>
      </c>
    </row>
    <row r="225" customFormat="false" ht="15" hidden="false" customHeight="false" outlineLevel="0" collapsed="false">
      <c r="A225" s="2" t="str">
        <f aca="false">Person_Data!A225</f>
        <v>AO22316</v>
      </c>
      <c r="B225" s="2" t="str">
        <f aca="false">Person_Data!C225</f>
        <v>Senior Lieutenant</v>
      </c>
      <c r="C225" s="5" t="n">
        <f aca="false">Person_Data!D225</f>
        <v>4.2</v>
      </c>
      <c r="D225" s="2" t="n">
        <f aca="false">INDEX(Rank_Rules!$B$2:$B$9,MATCH(B225,Rank_Rules!$A$2:$A$9,0))</f>
        <v>4</v>
      </c>
      <c r="E225" s="2" t="n">
        <f aca="false">INDEX(Rank_Rules!$C$2:$C$9,MATCH(B225,Rank_Rules!$A$2:$A$9,0))</f>
        <v>6</v>
      </c>
      <c r="F225" s="2" t="str">
        <f aca="false">IF(AND(C225&gt;=D225,C225&lt;=E225),"OK","MISMATCH")</f>
        <v>OK</v>
      </c>
      <c r="G225" s="6" t="n">
        <f aca="false">Person_Data!H225</f>
        <v>14.5</v>
      </c>
      <c r="H225" s="2" t="str">
        <f aca="false">IF(G225&gt;=65,"HIGH",IF(G225&gt;=50,"MEDIUM","LOW"))</f>
        <v>LOW</v>
      </c>
    </row>
    <row r="226" customFormat="false" ht="15" hidden="false" customHeight="false" outlineLevel="0" collapsed="false">
      <c r="A226" s="2" t="str">
        <f aca="false">Person_Data!A226</f>
        <v>AO18186</v>
      </c>
      <c r="B226" s="2" t="str">
        <f aca="false">Person_Data!C226</f>
        <v>Captain</v>
      </c>
      <c r="C226" s="5" t="n">
        <f aca="false">Person_Data!D226</f>
        <v>7.5</v>
      </c>
      <c r="D226" s="2" t="n">
        <f aca="false">INDEX(Rank_Rules!$B$2:$B$9,MATCH(B226,Rank_Rules!$A$2:$A$9,0))</f>
        <v>7</v>
      </c>
      <c r="E226" s="2" t="n">
        <f aca="false">INDEX(Rank_Rules!$C$2:$C$9,MATCH(B226,Rank_Rules!$A$2:$A$9,0))</f>
        <v>11</v>
      </c>
      <c r="F226" s="2" t="str">
        <f aca="false">IF(AND(C226&gt;=D226,C226&lt;=E226),"OK","MISMATCH")</f>
        <v>OK</v>
      </c>
      <c r="G226" s="6" t="n">
        <f aca="false">Person_Data!H226</f>
        <v>30.2</v>
      </c>
      <c r="H226" s="2" t="str">
        <f aca="false">IF(G226&gt;=65,"HIGH",IF(G226&gt;=50,"MEDIUM","LOW"))</f>
        <v>LOW</v>
      </c>
    </row>
    <row r="227" customFormat="false" ht="15" hidden="false" customHeight="false" outlineLevel="0" collapsed="false">
      <c r="A227" s="2" t="str">
        <f aca="false">Person_Data!A227</f>
        <v>AO20436</v>
      </c>
      <c r="B227" s="2" t="str">
        <f aca="false">Person_Data!C227</f>
        <v>Senior Lieutenant</v>
      </c>
      <c r="C227" s="5" t="n">
        <f aca="false">Person_Data!D227</f>
        <v>5.69</v>
      </c>
      <c r="D227" s="2" t="n">
        <f aca="false">INDEX(Rank_Rules!$B$2:$B$9,MATCH(B227,Rank_Rules!$A$2:$A$9,0))</f>
        <v>4</v>
      </c>
      <c r="E227" s="2" t="n">
        <f aca="false">INDEX(Rank_Rules!$C$2:$C$9,MATCH(B227,Rank_Rules!$A$2:$A$9,0))</f>
        <v>6</v>
      </c>
      <c r="F227" s="2" t="str">
        <f aca="false">IF(AND(C227&gt;=D227,C227&lt;=E227),"OK","MISMATCH")</f>
        <v>OK</v>
      </c>
      <c r="G227" s="6" t="n">
        <f aca="false">Person_Data!H227</f>
        <v>38.7</v>
      </c>
      <c r="H227" s="2" t="str">
        <f aca="false">IF(G227&gt;=65,"HIGH",IF(G227&gt;=50,"MEDIUM","LOW"))</f>
        <v>LOW</v>
      </c>
    </row>
    <row r="228" customFormat="false" ht="15" hidden="false" customHeight="false" outlineLevel="0" collapsed="false">
      <c r="A228" s="2" t="str">
        <f aca="false">Person_Data!A228</f>
        <v>AO18238</v>
      </c>
      <c r="B228" s="2" t="str">
        <f aca="false">Person_Data!C228</f>
        <v>Captain</v>
      </c>
      <c r="C228" s="5" t="n">
        <f aca="false">Person_Data!D228</f>
        <v>7.57</v>
      </c>
      <c r="D228" s="2" t="n">
        <f aca="false">INDEX(Rank_Rules!$B$2:$B$9,MATCH(B228,Rank_Rules!$A$2:$A$9,0))</f>
        <v>7</v>
      </c>
      <c r="E228" s="2" t="n">
        <f aca="false">INDEX(Rank_Rules!$C$2:$C$9,MATCH(B228,Rank_Rules!$A$2:$A$9,0))</f>
        <v>11</v>
      </c>
      <c r="F228" s="2" t="str">
        <f aca="false">IF(AND(C228&gt;=D228,C228&lt;=E228),"OK","MISMATCH")</f>
        <v>OK</v>
      </c>
      <c r="G228" s="6" t="n">
        <f aca="false">Person_Data!H228</f>
        <v>39.4</v>
      </c>
      <c r="H228" s="2" t="str">
        <f aca="false">IF(G228&gt;=65,"HIGH",IF(G228&gt;=50,"MEDIUM","LOW"))</f>
        <v>LOW</v>
      </c>
    </row>
    <row r="229" customFormat="false" ht="15" hidden="false" customHeight="false" outlineLevel="0" collapsed="false">
      <c r="A229" s="2" t="str">
        <f aca="false">Person_Data!A229</f>
        <v>AO25379</v>
      </c>
      <c r="B229" s="2" t="str">
        <f aca="false">Person_Data!C229</f>
        <v>Lieutenant</v>
      </c>
      <c r="C229" s="5" t="n">
        <f aca="false">Person_Data!D229</f>
        <v>1.49</v>
      </c>
      <c r="D229" s="2" t="n">
        <f aca="false">INDEX(Rank_Rules!$B$2:$B$9,MATCH(B229,Rank_Rules!$A$2:$A$9,0))</f>
        <v>1</v>
      </c>
      <c r="E229" s="2" t="n">
        <f aca="false">INDEX(Rank_Rules!$C$2:$C$9,MATCH(B229,Rank_Rules!$A$2:$A$9,0))</f>
        <v>3</v>
      </c>
      <c r="F229" s="2" t="str">
        <f aca="false">IF(AND(C229&gt;=D229,C229&lt;=E229),"OK","MISMATCH")</f>
        <v>OK</v>
      </c>
      <c r="G229" s="6" t="n">
        <f aca="false">Person_Data!H229</f>
        <v>49.3</v>
      </c>
      <c r="H229" s="2" t="str">
        <f aca="false">IF(G229&gt;=65,"HIGH",IF(G229&gt;=50,"MEDIUM","LOW"))</f>
        <v>LOW</v>
      </c>
    </row>
    <row r="230" customFormat="false" ht="15" hidden="false" customHeight="false" outlineLevel="0" collapsed="false">
      <c r="A230" s="2" t="str">
        <f aca="false">Person_Data!A230</f>
        <v>AO12189</v>
      </c>
      <c r="B230" s="2" t="str">
        <f aca="false">Person_Data!C230</f>
        <v>Major</v>
      </c>
      <c r="C230" s="5" t="n">
        <f aca="false">Person_Data!D230</f>
        <v>13.67</v>
      </c>
      <c r="D230" s="2" t="n">
        <f aca="false">INDEX(Rank_Rules!$B$2:$B$9,MATCH(B230,Rank_Rules!$A$2:$A$9,0))</f>
        <v>12</v>
      </c>
      <c r="E230" s="2" t="n">
        <f aca="false">INDEX(Rank_Rules!$C$2:$C$9,MATCH(B230,Rank_Rules!$A$2:$A$9,0))</f>
        <v>15</v>
      </c>
      <c r="F230" s="2" t="str">
        <f aca="false">IF(AND(C230&gt;=D230,C230&lt;=E230),"OK","MISMATCH")</f>
        <v>OK</v>
      </c>
      <c r="G230" s="6" t="n">
        <f aca="false">Person_Data!H230</f>
        <v>68.8</v>
      </c>
      <c r="H230" s="2" t="str">
        <f aca="false">IF(G230&gt;=65,"HIGH",IF(G230&gt;=50,"MEDIUM","LOW"))</f>
        <v>HIGH</v>
      </c>
    </row>
    <row r="231" customFormat="false" ht="15" hidden="false" customHeight="false" outlineLevel="0" collapsed="false">
      <c r="A231" s="2" t="str">
        <f aca="false">Person_Data!A231</f>
        <v>AO15573</v>
      </c>
      <c r="B231" s="2" t="str">
        <f aca="false">Person_Data!C231</f>
        <v>Captain</v>
      </c>
      <c r="C231" s="5" t="n">
        <f aca="false">Person_Data!D231</f>
        <v>10.84</v>
      </c>
      <c r="D231" s="2" t="n">
        <f aca="false">INDEX(Rank_Rules!$B$2:$B$9,MATCH(B231,Rank_Rules!$A$2:$A$9,0))</f>
        <v>7</v>
      </c>
      <c r="E231" s="2" t="n">
        <f aca="false">INDEX(Rank_Rules!$C$2:$C$9,MATCH(B231,Rank_Rules!$A$2:$A$9,0))</f>
        <v>11</v>
      </c>
      <c r="F231" s="2" t="str">
        <f aca="false">IF(AND(C231&gt;=D231,C231&lt;=E231),"OK","MISMATCH")</f>
        <v>OK</v>
      </c>
      <c r="G231" s="6" t="n">
        <f aca="false">Person_Data!H231</f>
        <v>57.4</v>
      </c>
      <c r="H231" s="2" t="str">
        <f aca="false">IF(G231&gt;=65,"HIGH",IF(G231&gt;=50,"MEDIUM","LOW"))</f>
        <v>MEDIUM</v>
      </c>
    </row>
    <row r="232" customFormat="false" ht="15" hidden="false" customHeight="false" outlineLevel="0" collapsed="false">
      <c r="A232" s="2" t="str">
        <f aca="false">Person_Data!A232</f>
        <v>AO18127</v>
      </c>
      <c r="B232" s="2" t="str">
        <f aca="false">Person_Data!C232</f>
        <v>Captain</v>
      </c>
      <c r="C232" s="5" t="n">
        <f aca="false">Person_Data!D232</f>
        <v>7.67</v>
      </c>
      <c r="D232" s="2" t="n">
        <f aca="false">INDEX(Rank_Rules!$B$2:$B$9,MATCH(B232,Rank_Rules!$A$2:$A$9,0))</f>
        <v>7</v>
      </c>
      <c r="E232" s="2" t="n">
        <f aca="false">INDEX(Rank_Rules!$C$2:$C$9,MATCH(B232,Rank_Rules!$A$2:$A$9,0))</f>
        <v>11</v>
      </c>
      <c r="F232" s="2" t="str">
        <f aca="false">IF(AND(C232&gt;=D232,C232&lt;=E232),"OK","MISMATCH")</f>
        <v>OK</v>
      </c>
      <c r="G232" s="6" t="n">
        <f aca="false">Person_Data!H232</f>
        <v>57.4</v>
      </c>
      <c r="H232" s="2" t="str">
        <f aca="false">IF(G232&gt;=65,"HIGH",IF(G232&gt;=50,"MEDIUM","LOW"))</f>
        <v>MEDIUM</v>
      </c>
    </row>
    <row r="233" customFormat="false" ht="15" hidden="false" customHeight="false" outlineLevel="0" collapsed="false">
      <c r="A233" s="2" t="str">
        <f aca="false">Person_Data!A233</f>
        <v>AO13278</v>
      </c>
      <c r="B233" s="2" t="str">
        <f aca="false">Person_Data!C233</f>
        <v>Major</v>
      </c>
      <c r="C233" s="5" t="n">
        <f aca="false">Person_Data!D233</f>
        <v>12.82</v>
      </c>
      <c r="D233" s="2" t="n">
        <f aca="false">INDEX(Rank_Rules!$B$2:$B$9,MATCH(B233,Rank_Rules!$A$2:$A$9,0))</f>
        <v>12</v>
      </c>
      <c r="E233" s="2" t="n">
        <f aca="false">INDEX(Rank_Rules!$C$2:$C$9,MATCH(B233,Rank_Rules!$A$2:$A$9,0))</f>
        <v>15</v>
      </c>
      <c r="F233" s="2" t="str">
        <f aca="false">IF(AND(C233&gt;=D233,C233&lt;=E233),"OK","MISMATCH")</f>
        <v>OK</v>
      </c>
      <c r="G233" s="6" t="n">
        <f aca="false">Person_Data!H233</f>
        <v>57.4</v>
      </c>
      <c r="H233" s="2" t="str">
        <f aca="false">IF(G233&gt;=65,"HIGH",IF(G233&gt;=50,"MEDIUM","LOW"))</f>
        <v>MEDIUM</v>
      </c>
    </row>
    <row r="234" customFormat="false" ht="15" hidden="false" customHeight="false" outlineLevel="0" collapsed="false">
      <c r="A234" s="2" t="str">
        <f aca="false">Person_Data!A234</f>
        <v>AO15860</v>
      </c>
      <c r="B234" s="2" t="str">
        <f aca="false">Person_Data!C234</f>
        <v>Captain</v>
      </c>
      <c r="C234" s="5" t="n">
        <f aca="false">Person_Data!D234</f>
        <v>11</v>
      </c>
      <c r="D234" s="2" t="n">
        <f aca="false">INDEX(Rank_Rules!$B$2:$B$9,MATCH(B234,Rank_Rules!$A$2:$A$9,0))</f>
        <v>7</v>
      </c>
      <c r="E234" s="2" t="n">
        <f aca="false">INDEX(Rank_Rules!$C$2:$C$9,MATCH(B234,Rank_Rules!$A$2:$A$9,0))</f>
        <v>11</v>
      </c>
      <c r="F234" s="2" t="str">
        <f aca="false">IF(AND(C234&gt;=D234,C234&lt;=E234),"OK","MISMATCH")</f>
        <v>OK</v>
      </c>
      <c r="G234" s="6" t="n">
        <f aca="false">Person_Data!H234</f>
        <v>55.4</v>
      </c>
      <c r="H234" s="2" t="str">
        <f aca="false">IF(G234&gt;=65,"HIGH",IF(G234&gt;=50,"MEDIUM","LOW"))</f>
        <v>MEDIUM</v>
      </c>
    </row>
    <row r="235" customFormat="false" ht="15" hidden="false" customHeight="false" outlineLevel="0" collapsed="false">
      <c r="A235" s="2" t="str">
        <f aca="false">Person_Data!A235</f>
        <v>AO23574</v>
      </c>
      <c r="B235" s="2" t="str">
        <f aca="false">Person_Data!C235</f>
        <v>Lieutenant</v>
      </c>
      <c r="C235" s="5" t="n">
        <f aca="false">Person_Data!D235</f>
        <v>2.68</v>
      </c>
      <c r="D235" s="2" t="n">
        <f aca="false">INDEX(Rank_Rules!$B$2:$B$9,MATCH(B235,Rank_Rules!$A$2:$A$9,0))</f>
        <v>1</v>
      </c>
      <c r="E235" s="2" t="n">
        <f aca="false">INDEX(Rank_Rules!$C$2:$C$9,MATCH(B235,Rank_Rules!$A$2:$A$9,0))</f>
        <v>3</v>
      </c>
      <c r="F235" s="2" t="str">
        <f aca="false">IF(AND(C235&gt;=D235,C235&lt;=E235),"OK","MISMATCH")</f>
        <v>OK</v>
      </c>
      <c r="G235" s="6" t="n">
        <f aca="false">Person_Data!H235</f>
        <v>55</v>
      </c>
      <c r="H235" s="2" t="str">
        <f aca="false">IF(G235&gt;=65,"HIGH",IF(G235&gt;=50,"MEDIUM","LOW"))</f>
        <v>MEDIUM</v>
      </c>
    </row>
    <row r="236" customFormat="false" ht="15" hidden="false" customHeight="false" outlineLevel="0" collapsed="false">
      <c r="A236" s="2" t="str">
        <f aca="false">Person_Data!A236</f>
        <v>AO24436</v>
      </c>
      <c r="B236" s="2" t="str">
        <f aca="false">Person_Data!C236</f>
        <v>Lieutenant</v>
      </c>
      <c r="C236" s="5" t="n">
        <f aca="false">Person_Data!D236</f>
        <v>2.07</v>
      </c>
      <c r="D236" s="2" t="n">
        <f aca="false">INDEX(Rank_Rules!$B$2:$B$9,MATCH(B236,Rank_Rules!$A$2:$A$9,0))</f>
        <v>1</v>
      </c>
      <c r="E236" s="2" t="n">
        <f aca="false">INDEX(Rank_Rules!$C$2:$C$9,MATCH(B236,Rank_Rules!$A$2:$A$9,0))</f>
        <v>3</v>
      </c>
      <c r="F236" s="2" t="str">
        <f aca="false">IF(AND(C236&gt;=D236,C236&lt;=E236),"OK","MISMATCH")</f>
        <v>OK</v>
      </c>
      <c r="G236" s="6" t="n">
        <f aca="false">Person_Data!H236</f>
        <v>44.9</v>
      </c>
      <c r="H236" s="2" t="str">
        <f aca="false">IF(G236&gt;=65,"HIGH",IF(G236&gt;=50,"MEDIUM","LOW"))</f>
        <v>LOW</v>
      </c>
    </row>
    <row r="237" customFormat="false" ht="15" hidden="false" customHeight="false" outlineLevel="0" collapsed="false">
      <c r="A237" s="2" t="str">
        <f aca="false">Person_Data!A237</f>
        <v>AO24631</v>
      </c>
      <c r="B237" s="2" t="str">
        <f aca="false">Person_Data!C237</f>
        <v>Lieutenant</v>
      </c>
      <c r="C237" s="5" t="n">
        <f aca="false">Person_Data!D237</f>
        <v>2.4</v>
      </c>
      <c r="D237" s="2" t="n">
        <f aca="false">INDEX(Rank_Rules!$B$2:$B$9,MATCH(B237,Rank_Rules!$A$2:$A$9,0))</f>
        <v>1</v>
      </c>
      <c r="E237" s="2" t="n">
        <f aca="false">INDEX(Rank_Rules!$C$2:$C$9,MATCH(B237,Rank_Rules!$A$2:$A$9,0))</f>
        <v>3</v>
      </c>
      <c r="F237" s="2" t="str">
        <f aca="false">IF(AND(C237&gt;=D237,C237&lt;=E237),"OK","MISMATCH")</f>
        <v>OK</v>
      </c>
      <c r="G237" s="6" t="n">
        <f aca="false">Person_Data!H237</f>
        <v>54.8</v>
      </c>
      <c r="H237" s="2" t="str">
        <f aca="false">IF(G237&gt;=65,"HIGH",IF(G237&gt;=50,"MEDIUM","LOW"))</f>
        <v>MEDIUM</v>
      </c>
    </row>
    <row r="238" customFormat="false" ht="15" hidden="false" customHeight="false" outlineLevel="0" collapsed="false">
      <c r="A238" s="2" t="str">
        <f aca="false">Person_Data!A238</f>
        <v>AO15583</v>
      </c>
      <c r="B238" s="2" t="str">
        <f aca="false">Person_Data!C238</f>
        <v>Captain</v>
      </c>
      <c r="C238" s="5" t="n">
        <f aca="false">Person_Data!D238</f>
        <v>11</v>
      </c>
      <c r="D238" s="2" t="n">
        <f aca="false">INDEX(Rank_Rules!$B$2:$B$9,MATCH(B238,Rank_Rules!$A$2:$A$9,0))</f>
        <v>7</v>
      </c>
      <c r="E238" s="2" t="n">
        <f aca="false">INDEX(Rank_Rules!$C$2:$C$9,MATCH(B238,Rank_Rules!$A$2:$A$9,0))</f>
        <v>11</v>
      </c>
      <c r="F238" s="2" t="str">
        <f aca="false">IF(AND(C238&gt;=D238,C238&lt;=E238),"OK","MISMATCH")</f>
        <v>OK</v>
      </c>
      <c r="G238" s="6" t="n">
        <f aca="false">Person_Data!H238</f>
        <v>68.3</v>
      </c>
      <c r="H238" s="2" t="str">
        <f aca="false">IF(G238&gt;=65,"HIGH",IF(G238&gt;=50,"MEDIUM","LOW"))</f>
        <v>HIGH</v>
      </c>
    </row>
    <row r="239" customFormat="false" ht="15" hidden="false" customHeight="false" outlineLevel="0" collapsed="false">
      <c r="A239" s="2" t="str">
        <f aca="false">Person_Data!A239</f>
        <v>AO24190</v>
      </c>
      <c r="B239" s="2" t="str">
        <f aca="false">Person_Data!C239</f>
        <v>Lieutenant</v>
      </c>
      <c r="C239" s="5" t="n">
        <f aca="false">Person_Data!D239</f>
        <v>2.01</v>
      </c>
      <c r="D239" s="2" t="n">
        <f aca="false">INDEX(Rank_Rules!$B$2:$B$9,MATCH(B239,Rank_Rules!$A$2:$A$9,0))</f>
        <v>1</v>
      </c>
      <c r="E239" s="2" t="n">
        <f aca="false">INDEX(Rank_Rules!$C$2:$C$9,MATCH(B239,Rank_Rules!$A$2:$A$9,0))</f>
        <v>3</v>
      </c>
      <c r="F239" s="2" t="str">
        <f aca="false">IF(AND(C239&gt;=D239,C239&lt;=E239),"OK","MISMATCH")</f>
        <v>OK</v>
      </c>
      <c r="G239" s="6" t="n">
        <f aca="false">Person_Data!H239</f>
        <v>41</v>
      </c>
      <c r="H239" s="2" t="str">
        <f aca="false">IF(G239&gt;=65,"HIGH",IF(G239&gt;=50,"MEDIUM","LOW"))</f>
        <v>LOW</v>
      </c>
    </row>
    <row r="240" customFormat="false" ht="15" hidden="false" customHeight="false" outlineLevel="0" collapsed="false">
      <c r="A240" s="2" t="str">
        <f aca="false">Person_Data!A240</f>
        <v>AO15781</v>
      </c>
      <c r="B240" s="2" t="str">
        <f aca="false">Person_Data!C240</f>
        <v>Captain</v>
      </c>
      <c r="C240" s="5" t="n">
        <f aca="false">Person_Data!D240</f>
        <v>10.78</v>
      </c>
      <c r="D240" s="2" t="n">
        <f aca="false">INDEX(Rank_Rules!$B$2:$B$9,MATCH(B240,Rank_Rules!$A$2:$A$9,0))</f>
        <v>7</v>
      </c>
      <c r="E240" s="2" t="n">
        <f aca="false">INDEX(Rank_Rules!$C$2:$C$9,MATCH(B240,Rank_Rules!$A$2:$A$9,0))</f>
        <v>11</v>
      </c>
      <c r="F240" s="2" t="str">
        <f aca="false">IF(AND(C240&gt;=D240,C240&lt;=E240),"OK","MISMATCH")</f>
        <v>OK</v>
      </c>
      <c r="G240" s="6" t="n">
        <f aca="false">Person_Data!H240</f>
        <v>68.8</v>
      </c>
      <c r="H240" s="2" t="str">
        <f aca="false">IF(G240&gt;=65,"HIGH",IF(G240&gt;=50,"MEDIUM","LOW"))</f>
        <v>HIGH</v>
      </c>
    </row>
    <row r="241" customFormat="false" ht="15" hidden="false" customHeight="false" outlineLevel="0" collapsed="false">
      <c r="A241" s="2" t="str">
        <f aca="false">Person_Data!A241</f>
        <v>AO12061</v>
      </c>
      <c r="B241" s="2" t="str">
        <f aca="false">Person_Data!C241</f>
        <v>Major</v>
      </c>
      <c r="C241" s="5" t="n">
        <f aca="false">Person_Data!D241</f>
        <v>14.12</v>
      </c>
      <c r="D241" s="2" t="n">
        <f aca="false">INDEX(Rank_Rules!$B$2:$B$9,MATCH(B241,Rank_Rules!$A$2:$A$9,0))</f>
        <v>12</v>
      </c>
      <c r="E241" s="2" t="n">
        <f aca="false">INDEX(Rank_Rules!$C$2:$C$9,MATCH(B241,Rank_Rules!$A$2:$A$9,0))</f>
        <v>15</v>
      </c>
      <c r="F241" s="2" t="str">
        <f aca="false">IF(AND(C241&gt;=D241,C241&lt;=E241),"OK","MISMATCH")</f>
        <v>OK</v>
      </c>
      <c r="G241" s="6" t="n">
        <f aca="false">Person_Data!H241</f>
        <v>54.6</v>
      </c>
      <c r="H241" s="2" t="str">
        <f aca="false">IF(G241&gt;=65,"HIGH",IF(G241&gt;=50,"MEDIUM","LOW"))</f>
        <v>MEDIUM</v>
      </c>
    </row>
    <row r="242" customFormat="false" ht="15" hidden="false" customHeight="false" outlineLevel="0" collapsed="false">
      <c r="A242" s="2" t="str">
        <f aca="false">Person_Data!A242</f>
        <v>AO18148</v>
      </c>
      <c r="B242" s="2" t="str">
        <f aca="false">Person_Data!C242</f>
        <v>Captain</v>
      </c>
      <c r="C242" s="5" t="n">
        <f aca="false">Person_Data!D242</f>
        <v>8.29</v>
      </c>
      <c r="D242" s="2" t="n">
        <f aca="false">INDEX(Rank_Rules!$B$2:$B$9,MATCH(B242,Rank_Rules!$A$2:$A$9,0))</f>
        <v>7</v>
      </c>
      <c r="E242" s="2" t="n">
        <f aca="false">INDEX(Rank_Rules!$C$2:$C$9,MATCH(B242,Rank_Rules!$A$2:$A$9,0))</f>
        <v>11</v>
      </c>
      <c r="F242" s="2" t="str">
        <f aca="false">IF(AND(C242&gt;=D242,C242&lt;=E242),"OK","MISMATCH")</f>
        <v>OK</v>
      </c>
      <c r="G242" s="6" t="n">
        <f aca="false">Person_Data!H242</f>
        <v>67.3</v>
      </c>
      <c r="H242" s="2" t="str">
        <f aca="false">IF(G242&gt;=65,"HIGH",IF(G242&gt;=50,"MEDIUM","LOW"))</f>
        <v>HIGH</v>
      </c>
    </row>
    <row r="243" customFormat="false" ht="15" hidden="false" customHeight="false" outlineLevel="0" collapsed="false">
      <c r="A243" s="2" t="str">
        <f aca="false">Person_Data!A243</f>
        <v>AO13289</v>
      </c>
      <c r="B243" s="2" t="str">
        <f aca="false">Person_Data!C243</f>
        <v>Major</v>
      </c>
      <c r="C243" s="5" t="n">
        <f aca="false">Person_Data!D243</f>
        <v>12.99</v>
      </c>
      <c r="D243" s="2" t="n">
        <f aca="false">INDEX(Rank_Rules!$B$2:$B$9,MATCH(B243,Rank_Rules!$A$2:$A$9,0))</f>
        <v>12</v>
      </c>
      <c r="E243" s="2" t="n">
        <f aca="false">INDEX(Rank_Rules!$C$2:$C$9,MATCH(B243,Rank_Rules!$A$2:$A$9,0))</f>
        <v>15</v>
      </c>
      <c r="F243" s="2" t="str">
        <f aca="false">IF(AND(C243&gt;=D243,C243&lt;=E243),"OK","MISMATCH")</f>
        <v>OK</v>
      </c>
      <c r="G243" s="6" t="n">
        <f aca="false">Person_Data!H243</f>
        <v>51.7</v>
      </c>
      <c r="H243" s="2" t="str">
        <f aca="false">IF(G243&gt;=65,"HIGH",IF(G243&gt;=50,"MEDIUM","LOW"))</f>
        <v>MEDIUM</v>
      </c>
    </row>
    <row r="244" customFormat="false" ht="15" hidden="false" customHeight="false" outlineLevel="0" collapsed="false">
      <c r="A244" s="2" t="str">
        <f aca="false">Person_Data!A244</f>
        <v>AO23475</v>
      </c>
      <c r="B244" s="2" t="str">
        <f aca="false">Person_Data!C244</f>
        <v>Lieutenant</v>
      </c>
      <c r="C244" s="5" t="n">
        <f aca="false">Person_Data!D244</f>
        <v>2.84</v>
      </c>
      <c r="D244" s="2" t="n">
        <f aca="false">INDEX(Rank_Rules!$B$2:$B$9,MATCH(B244,Rank_Rules!$A$2:$A$9,0))</f>
        <v>1</v>
      </c>
      <c r="E244" s="2" t="n">
        <f aca="false">INDEX(Rank_Rules!$C$2:$C$9,MATCH(B244,Rank_Rules!$A$2:$A$9,0))</f>
        <v>3</v>
      </c>
      <c r="F244" s="2" t="str">
        <f aca="false">IF(AND(C244&gt;=D244,C244&lt;=E244),"OK","MISMATCH")</f>
        <v>OK</v>
      </c>
      <c r="G244" s="6" t="n">
        <f aca="false">Person_Data!H244</f>
        <v>76.3</v>
      </c>
      <c r="H244" s="2" t="str">
        <f aca="false">IF(G244&gt;=65,"HIGH",IF(G244&gt;=50,"MEDIUM","LOW"))</f>
        <v>HIGH</v>
      </c>
    </row>
    <row r="245" customFormat="false" ht="15" hidden="false" customHeight="false" outlineLevel="0" collapsed="false">
      <c r="A245" s="2" t="str">
        <f aca="false">Person_Data!A245</f>
        <v>AO25607</v>
      </c>
      <c r="B245" s="2" t="str">
        <f aca="false">Person_Data!C245</f>
        <v>Lieutenant</v>
      </c>
      <c r="C245" s="5" t="n">
        <f aca="false">Person_Data!D245</f>
        <v>1.02</v>
      </c>
      <c r="D245" s="2" t="n">
        <f aca="false">INDEX(Rank_Rules!$B$2:$B$9,MATCH(B245,Rank_Rules!$A$2:$A$9,0))</f>
        <v>1</v>
      </c>
      <c r="E245" s="2" t="n">
        <f aca="false">INDEX(Rank_Rules!$C$2:$C$9,MATCH(B245,Rank_Rules!$A$2:$A$9,0))</f>
        <v>3</v>
      </c>
      <c r="F245" s="2" t="str">
        <f aca="false">IF(AND(C245&gt;=D245,C245&lt;=E245),"OK","MISMATCH")</f>
        <v>OK</v>
      </c>
      <c r="G245" s="6" t="n">
        <f aca="false">Person_Data!H245</f>
        <v>68.7</v>
      </c>
      <c r="H245" s="2" t="str">
        <f aca="false">IF(G245&gt;=65,"HIGH",IF(G245&gt;=50,"MEDIUM","LOW"))</f>
        <v>HIGH</v>
      </c>
    </row>
    <row r="246" customFormat="false" ht="15" hidden="false" customHeight="false" outlineLevel="0" collapsed="false">
      <c r="A246" s="2" t="str">
        <f aca="false">Person_Data!A246</f>
        <v>AO21091</v>
      </c>
      <c r="B246" s="2" t="str">
        <f aca="false">Person_Data!C246</f>
        <v>Senior Lieutenant</v>
      </c>
      <c r="C246" s="5" t="n">
        <f aca="false">Person_Data!D246</f>
        <v>5.39</v>
      </c>
      <c r="D246" s="2" t="n">
        <f aca="false">INDEX(Rank_Rules!$B$2:$B$9,MATCH(B246,Rank_Rules!$A$2:$A$9,0))</f>
        <v>4</v>
      </c>
      <c r="E246" s="2" t="n">
        <f aca="false">INDEX(Rank_Rules!$C$2:$C$9,MATCH(B246,Rank_Rules!$A$2:$A$9,0))</f>
        <v>6</v>
      </c>
      <c r="F246" s="2" t="str">
        <f aca="false">IF(AND(C246&gt;=D246,C246&lt;=E246),"OK","MISMATCH")</f>
        <v>OK</v>
      </c>
      <c r="G246" s="6" t="n">
        <f aca="false">Person_Data!H246</f>
        <v>70.6</v>
      </c>
      <c r="H246" s="2" t="str">
        <f aca="false">IF(G246&gt;=65,"HIGH",IF(G246&gt;=50,"MEDIUM","LOW"))</f>
        <v>HIGH</v>
      </c>
    </row>
    <row r="247" customFormat="false" ht="15" hidden="false" customHeight="false" outlineLevel="0" collapsed="false">
      <c r="A247" s="2" t="str">
        <f aca="false">Person_Data!A247</f>
        <v>AO22207</v>
      </c>
      <c r="B247" s="2" t="str">
        <f aca="false">Person_Data!C247</f>
        <v>Senior Lieutenant</v>
      </c>
      <c r="C247" s="5" t="n">
        <f aca="false">Person_Data!D247</f>
        <v>4.16</v>
      </c>
      <c r="D247" s="2" t="n">
        <f aca="false">INDEX(Rank_Rules!$B$2:$B$9,MATCH(B247,Rank_Rules!$A$2:$A$9,0))</f>
        <v>4</v>
      </c>
      <c r="E247" s="2" t="n">
        <f aca="false">INDEX(Rank_Rules!$C$2:$C$9,MATCH(B247,Rank_Rules!$A$2:$A$9,0))</f>
        <v>6</v>
      </c>
      <c r="F247" s="2" t="str">
        <f aca="false">IF(AND(C247&gt;=D247,C247&lt;=E247),"OK","MISMATCH")</f>
        <v>OK</v>
      </c>
      <c r="G247" s="6" t="n">
        <f aca="false">Person_Data!H247</f>
        <v>53.1</v>
      </c>
      <c r="H247" s="2" t="str">
        <f aca="false">IF(G247&gt;=65,"HIGH",IF(G247&gt;=50,"MEDIUM","LOW"))</f>
        <v>MEDIUM</v>
      </c>
    </row>
    <row r="248" customFormat="false" ht="15" hidden="false" customHeight="false" outlineLevel="0" collapsed="false">
      <c r="A248" s="2" t="str">
        <f aca="false">Person_Data!A248</f>
        <v>AO17682</v>
      </c>
      <c r="B248" s="2" t="str">
        <f aca="false">Person_Data!C248</f>
        <v>Captain</v>
      </c>
      <c r="C248" s="5" t="n">
        <f aca="false">Person_Data!D248</f>
        <v>9.15</v>
      </c>
      <c r="D248" s="2" t="n">
        <f aca="false">INDEX(Rank_Rules!$B$2:$B$9,MATCH(B248,Rank_Rules!$A$2:$A$9,0))</f>
        <v>7</v>
      </c>
      <c r="E248" s="2" t="n">
        <f aca="false">INDEX(Rank_Rules!$C$2:$C$9,MATCH(B248,Rank_Rules!$A$2:$A$9,0))</f>
        <v>11</v>
      </c>
      <c r="F248" s="2" t="str">
        <f aca="false">IF(AND(C248&gt;=D248,C248&lt;=E248),"OK","MISMATCH")</f>
        <v>OK</v>
      </c>
      <c r="G248" s="6" t="n">
        <f aca="false">Person_Data!H248</f>
        <v>43.5</v>
      </c>
      <c r="H248" s="2" t="str">
        <f aca="false">IF(G248&gt;=65,"HIGH",IF(G248&gt;=50,"MEDIUM","LOW"))</f>
        <v>LOW</v>
      </c>
    </row>
    <row r="249" customFormat="false" ht="15" hidden="false" customHeight="false" outlineLevel="0" collapsed="false">
      <c r="A249" s="2" t="str">
        <f aca="false">Person_Data!A249</f>
        <v>AO17015</v>
      </c>
      <c r="B249" s="2" t="str">
        <f aca="false">Person_Data!C249</f>
        <v>Captain</v>
      </c>
      <c r="C249" s="5" t="n">
        <f aca="false">Person_Data!D249</f>
        <v>8.78</v>
      </c>
      <c r="D249" s="2" t="n">
        <f aca="false">INDEX(Rank_Rules!$B$2:$B$9,MATCH(B249,Rank_Rules!$A$2:$A$9,0))</f>
        <v>7</v>
      </c>
      <c r="E249" s="2" t="n">
        <f aca="false">INDEX(Rank_Rules!$C$2:$C$9,MATCH(B249,Rank_Rules!$A$2:$A$9,0))</f>
        <v>11</v>
      </c>
      <c r="F249" s="2" t="str">
        <f aca="false">IF(AND(C249&gt;=D249,C249&lt;=E249),"OK","MISMATCH")</f>
        <v>OK</v>
      </c>
      <c r="G249" s="6" t="n">
        <f aca="false">Person_Data!H249</f>
        <v>52.4</v>
      </c>
      <c r="H249" s="2" t="str">
        <f aca="false">IF(G249&gt;=65,"HIGH",IF(G249&gt;=50,"MEDIUM","LOW"))</f>
        <v>MEDIUM</v>
      </c>
    </row>
    <row r="250" customFormat="false" ht="15" hidden="false" customHeight="false" outlineLevel="0" collapsed="false">
      <c r="A250" s="2" t="str">
        <f aca="false">Person_Data!A250</f>
        <v>AO13576</v>
      </c>
      <c r="B250" s="2" t="str">
        <f aca="false">Person_Data!C250</f>
        <v>Major</v>
      </c>
      <c r="C250" s="5" t="n">
        <f aca="false">Person_Data!D250</f>
        <v>13.13</v>
      </c>
      <c r="D250" s="2" t="n">
        <f aca="false">INDEX(Rank_Rules!$B$2:$B$9,MATCH(B250,Rank_Rules!$A$2:$A$9,0))</f>
        <v>12</v>
      </c>
      <c r="E250" s="2" t="n">
        <f aca="false">INDEX(Rank_Rules!$C$2:$C$9,MATCH(B250,Rank_Rules!$A$2:$A$9,0))</f>
        <v>15</v>
      </c>
      <c r="F250" s="2" t="str">
        <f aca="false">IF(AND(C250&gt;=D250,C250&lt;=E250),"OK","MISMATCH")</f>
        <v>OK</v>
      </c>
      <c r="G250" s="6" t="n">
        <f aca="false">Person_Data!H250</f>
        <v>46.5</v>
      </c>
      <c r="H250" s="2" t="str">
        <f aca="false">IF(G250&gt;=65,"HIGH",IF(G250&gt;=50,"MEDIUM","LOW"))</f>
        <v>LOW</v>
      </c>
    </row>
    <row r="251" customFormat="false" ht="15" hidden="false" customHeight="false" outlineLevel="0" collapsed="false">
      <c r="A251" s="2" t="str">
        <f aca="false">Person_Data!A251</f>
        <v>AO20306</v>
      </c>
      <c r="B251" s="2" t="str">
        <f aca="false">Person_Data!C251</f>
        <v>Senior Lieutenant</v>
      </c>
      <c r="C251" s="5" t="n">
        <f aca="false">Person_Data!D251</f>
        <v>5.68</v>
      </c>
      <c r="D251" s="2" t="n">
        <f aca="false">INDEX(Rank_Rules!$B$2:$B$9,MATCH(B251,Rank_Rules!$A$2:$A$9,0))</f>
        <v>4</v>
      </c>
      <c r="E251" s="2" t="n">
        <f aca="false">INDEX(Rank_Rules!$C$2:$C$9,MATCH(B251,Rank_Rules!$A$2:$A$9,0))</f>
        <v>6</v>
      </c>
      <c r="F251" s="2" t="str">
        <f aca="false">IF(AND(C251&gt;=D251,C251&lt;=E251),"OK","MISMATCH")</f>
        <v>OK</v>
      </c>
      <c r="G251" s="6" t="n">
        <f aca="false">Person_Data!H251</f>
        <v>56.2</v>
      </c>
      <c r="H251" s="2" t="str">
        <f aca="false">IF(G251&gt;=65,"HIGH",IF(G251&gt;=50,"MEDIUM","LOW"))</f>
        <v>MEDIUM</v>
      </c>
    </row>
    <row r="252" customFormat="false" ht="15" hidden="false" customHeight="false" outlineLevel="0" collapsed="false">
      <c r="A252" s="2" t="str">
        <f aca="false">Person_Data!A252</f>
        <v>AO14271</v>
      </c>
      <c r="B252" s="2" t="str">
        <f aca="false">Person_Data!C252</f>
        <v>Major</v>
      </c>
      <c r="C252" s="5" t="n">
        <f aca="false">Person_Data!D252</f>
        <v>12.37</v>
      </c>
      <c r="D252" s="2" t="n">
        <f aca="false">INDEX(Rank_Rules!$B$2:$B$9,MATCH(B252,Rank_Rules!$A$2:$A$9,0))</f>
        <v>12</v>
      </c>
      <c r="E252" s="2" t="n">
        <f aca="false">INDEX(Rank_Rules!$C$2:$C$9,MATCH(B252,Rank_Rules!$A$2:$A$9,0))</f>
        <v>15</v>
      </c>
      <c r="F252" s="2" t="str">
        <f aca="false">IF(AND(C252&gt;=D252,C252&lt;=E252),"OK","MISMATCH")</f>
        <v>OK</v>
      </c>
      <c r="G252" s="6" t="n">
        <f aca="false">Person_Data!H252</f>
        <v>40.2</v>
      </c>
      <c r="H252" s="2" t="str">
        <f aca="false">IF(G252&gt;=65,"HIGH",IF(G252&gt;=50,"MEDIUM","LOW"))</f>
        <v>LOW</v>
      </c>
    </row>
    <row r="253" customFormat="false" ht="15" hidden="false" customHeight="false" outlineLevel="0" collapsed="false">
      <c r="A253" s="2" t="str">
        <f aca="false">Person_Data!A253</f>
        <v>AO25477</v>
      </c>
      <c r="B253" s="2" t="str">
        <f aca="false">Person_Data!C253</f>
        <v>Lieutenant</v>
      </c>
      <c r="C253" s="5" t="n">
        <f aca="false">Person_Data!D253</f>
        <v>1.02</v>
      </c>
      <c r="D253" s="2" t="n">
        <f aca="false">INDEX(Rank_Rules!$B$2:$B$9,MATCH(B253,Rank_Rules!$A$2:$A$9,0))</f>
        <v>1</v>
      </c>
      <c r="E253" s="2" t="n">
        <f aca="false">INDEX(Rank_Rules!$C$2:$C$9,MATCH(B253,Rank_Rules!$A$2:$A$9,0))</f>
        <v>3</v>
      </c>
      <c r="F253" s="2" t="str">
        <f aca="false">IF(AND(C253&gt;=D253,C253&lt;=E253),"OK","MISMATCH")</f>
        <v>OK</v>
      </c>
      <c r="G253" s="6" t="n">
        <f aca="false">Person_Data!H253</f>
        <v>38.1</v>
      </c>
      <c r="H253" s="2" t="str">
        <f aca="false">IF(G253&gt;=65,"HIGH",IF(G253&gt;=50,"MEDIUM","LOW"))</f>
        <v>LOW</v>
      </c>
    </row>
    <row r="254" customFormat="false" ht="15" hidden="false" customHeight="false" outlineLevel="0" collapsed="false">
      <c r="A254" s="2" t="str">
        <f aca="false">Person_Data!A254</f>
        <v>AO16242</v>
      </c>
      <c r="B254" s="2" t="str">
        <f aca="false">Person_Data!C254</f>
        <v>Captain</v>
      </c>
      <c r="C254" s="5" t="n">
        <f aca="false">Person_Data!D254</f>
        <v>9.72</v>
      </c>
      <c r="D254" s="2" t="n">
        <f aca="false">INDEX(Rank_Rules!$B$2:$B$9,MATCH(B254,Rank_Rules!$A$2:$A$9,0))</f>
        <v>7</v>
      </c>
      <c r="E254" s="2" t="n">
        <f aca="false">INDEX(Rank_Rules!$C$2:$C$9,MATCH(B254,Rank_Rules!$A$2:$A$9,0))</f>
        <v>11</v>
      </c>
      <c r="F254" s="2" t="str">
        <f aca="false">IF(AND(C254&gt;=D254,C254&lt;=E254),"OK","MISMATCH")</f>
        <v>OK</v>
      </c>
      <c r="G254" s="6" t="n">
        <f aca="false">Person_Data!H254</f>
        <v>70.3</v>
      </c>
      <c r="H254" s="2" t="str">
        <f aca="false">IF(G254&gt;=65,"HIGH",IF(G254&gt;=50,"MEDIUM","LOW"))</f>
        <v>HIGH</v>
      </c>
    </row>
    <row r="255" customFormat="false" ht="15" hidden="false" customHeight="false" outlineLevel="0" collapsed="false">
      <c r="A255" s="2" t="str">
        <f aca="false">Person_Data!A255</f>
        <v>AO23405</v>
      </c>
      <c r="B255" s="2" t="str">
        <f aca="false">Person_Data!C255</f>
        <v>Lieutenant</v>
      </c>
      <c r="C255" s="5" t="n">
        <f aca="false">Person_Data!D255</f>
        <v>2.63</v>
      </c>
      <c r="D255" s="2" t="n">
        <f aca="false">INDEX(Rank_Rules!$B$2:$B$9,MATCH(B255,Rank_Rules!$A$2:$A$9,0))</f>
        <v>1</v>
      </c>
      <c r="E255" s="2" t="n">
        <f aca="false">INDEX(Rank_Rules!$C$2:$C$9,MATCH(B255,Rank_Rules!$A$2:$A$9,0))</f>
        <v>3</v>
      </c>
      <c r="F255" s="2" t="str">
        <f aca="false">IF(AND(C255&gt;=D255,C255&lt;=E255),"OK","MISMATCH")</f>
        <v>OK</v>
      </c>
      <c r="G255" s="6" t="n">
        <f aca="false">Person_Data!H255</f>
        <v>56.9</v>
      </c>
      <c r="H255" s="2" t="str">
        <f aca="false">IF(G255&gt;=65,"HIGH",IF(G255&gt;=50,"MEDIUM","LOW"))</f>
        <v>MEDIUM</v>
      </c>
    </row>
    <row r="256" customFormat="false" ht="15" hidden="false" customHeight="false" outlineLevel="0" collapsed="false">
      <c r="A256" s="2" t="str">
        <f aca="false">Person_Data!A256</f>
        <v>AO18046</v>
      </c>
      <c r="B256" s="2" t="str">
        <f aca="false">Person_Data!C256</f>
        <v>Captain</v>
      </c>
      <c r="C256" s="5" t="n">
        <f aca="false">Person_Data!D256</f>
        <v>7.88</v>
      </c>
      <c r="D256" s="2" t="n">
        <f aca="false">INDEX(Rank_Rules!$B$2:$B$9,MATCH(B256,Rank_Rules!$A$2:$A$9,0))</f>
        <v>7</v>
      </c>
      <c r="E256" s="2" t="n">
        <f aca="false">INDEX(Rank_Rules!$C$2:$C$9,MATCH(B256,Rank_Rules!$A$2:$A$9,0))</f>
        <v>11</v>
      </c>
      <c r="F256" s="2" t="str">
        <f aca="false">IF(AND(C256&gt;=D256,C256&lt;=E256),"OK","MISMATCH")</f>
        <v>OK</v>
      </c>
      <c r="G256" s="6" t="n">
        <f aca="false">Person_Data!H256</f>
        <v>66.4</v>
      </c>
      <c r="H256" s="2" t="str">
        <f aca="false">IF(G256&gt;=65,"HIGH",IF(G256&gt;=50,"MEDIUM","LOW"))</f>
        <v>HIGH</v>
      </c>
    </row>
    <row r="257" customFormat="false" ht="15" hidden="false" customHeight="false" outlineLevel="0" collapsed="false">
      <c r="A257" s="2" t="str">
        <f aca="false">Person_Data!A257</f>
        <v>G20303</v>
      </c>
      <c r="B257" s="2" t="str">
        <f aca="false">Person_Data!C257</f>
        <v>Senior Warrant Officer</v>
      </c>
      <c r="C257" s="5" t="n">
        <f aca="false">Person_Data!D257</f>
        <v>5.55</v>
      </c>
      <c r="D257" s="2" t="n">
        <f aca="false">INDEX(Rank_Rules!$B$2:$B$9,MATCH(B257,Rank_Rules!$A$2:$A$9,0))</f>
        <v>5</v>
      </c>
      <c r="E257" s="2" t="n">
        <f aca="false">INDEX(Rank_Rules!$C$2:$C$9,MATCH(B257,Rank_Rules!$A$2:$A$9,0))</f>
        <v>20</v>
      </c>
      <c r="F257" s="2" t="str">
        <f aca="false">IF(AND(C257&gt;=D257,C257&lt;=E257),"OK","MISMATCH")</f>
        <v>OK</v>
      </c>
      <c r="G257" s="6" t="n">
        <f aca="false">Person_Data!H257</f>
        <v>54.4</v>
      </c>
      <c r="H257" s="2" t="str">
        <f aca="false">IF(G257&gt;=65,"HIGH",IF(G257&gt;=50,"MEDIUM","LOW"))</f>
        <v>MEDIUM</v>
      </c>
    </row>
    <row r="258" customFormat="false" ht="15" hidden="false" customHeight="false" outlineLevel="0" collapsed="false">
      <c r="A258" s="2" t="str">
        <f aca="false">Person_Data!A258</f>
        <v>G12516</v>
      </c>
      <c r="B258" s="2" t="str">
        <f aca="false">Person_Data!C258</f>
        <v>Senior Warrant Officer</v>
      </c>
      <c r="C258" s="5" t="n">
        <f aca="false">Person_Data!D258</f>
        <v>14.09</v>
      </c>
      <c r="D258" s="2" t="n">
        <f aca="false">INDEX(Rank_Rules!$B$2:$B$9,MATCH(B258,Rank_Rules!$A$2:$A$9,0))</f>
        <v>5</v>
      </c>
      <c r="E258" s="2" t="n">
        <f aca="false">INDEX(Rank_Rules!$C$2:$C$9,MATCH(B258,Rank_Rules!$A$2:$A$9,0))</f>
        <v>20</v>
      </c>
      <c r="F258" s="2" t="str">
        <f aca="false">IF(AND(C258&gt;=D258,C258&lt;=E258),"OK","MISMATCH")</f>
        <v>OK</v>
      </c>
      <c r="G258" s="6" t="n">
        <f aca="false">Person_Data!H258</f>
        <v>37.6</v>
      </c>
      <c r="H258" s="2" t="str">
        <f aca="false">IF(G258&gt;=65,"HIGH",IF(G258&gt;=50,"MEDIUM","LOW"))</f>
        <v>LOW</v>
      </c>
    </row>
    <row r="259" customFormat="false" ht="15" hidden="false" customHeight="false" outlineLevel="0" collapsed="false">
      <c r="A259" s="2" t="str">
        <f aca="false">Person_Data!A259</f>
        <v>G11545</v>
      </c>
      <c r="B259" s="2" t="str">
        <f aca="false">Person_Data!C259</f>
        <v>Senior Warrant Officer</v>
      </c>
      <c r="C259" s="5" t="n">
        <f aca="false">Person_Data!D259</f>
        <v>14.58</v>
      </c>
      <c r="D259" s="2" t="n">
        <f aca="false">INDEX(Rank_Rules!$B$2:$B$9,MATCH(B259,Rank_Rules!$A$2:$A$9,0))</f>
        <v>5</v>
      </c>
      <c r="E259" s="2" t="n">
        <f aca="false">INDEX(Rank_Rules!$C$2:$C$9,MATCH(B259,Rank_Rules!$A$2:$A$9,0))</f>
        <v>20</v>
      </c>
      <c r="F259" s="2" t="str">
        <f aca="false">IF(AND(C259&gt;=D259,C259&lt;=E259),"OK","MISMATCH")</f>
        <v>OK</v>
      </c>
      <c r="G259" s="6" t="n">
        <f aca="false">Person_Data!H259</f>
        <v>71.5</v>
      </c>
      <c r="H259" s="2" t="str">
        <f aca="false">IF(G259&gt;=65,"HIGH",IF(G259&gt;=50,"MEDIUM","LOW"))</f>
        <v>HIGH</v>
      </c>
    </row>
    <row r="260" customFormat="false" ht="15" hidden="false" customHeight="false" outlineLevel="0" collapsed="false">
      <c r="A260" s="2" t="str">
        <f aca="false">Person_Data!A260</f>
        <v>G24443</v>
      </c>
      <c r="B260" s="2" t="str">
        <f aca="false">Person_Data!C260</f>
        <v>Junior Warrant Officer</v>
      </c>
      <c r="C260" s="5" t="n">
        <f aca="false">Person_Data!D260</f>
        <v>2</v>
      </c>
      <c r="D260" s="2" t="n">
        <f aca="false">INDEX(Rank_Rules!$B$2:$B$9,MATCH(B260,Rank_Rules!$A$2:$A$9,0))</f>
        <v>1</v>
      </c>
      <c r="E260" s="2" t="n">
        <f aca="false">INDEX(Rank_Rules!$C$2:$C$9,MATCH(B260,Rank_Rules!$A$2:$A$9,0))</f>
        <v>3</v>
      </c>
      <c r="F260" s="2" t="str">
        <f aca="false">IF(AND(C260&gt;=D260,C260&lt;=E260),"OK","MISMATCH")</f>
        <v>OK</v>
      </c>
      <c r="G260" s="6" t="n">
        <f aca="false">Person_Data!H260</f>
        <v>27.5</v>
      </c>
      <c r="H260" s="2" t="str">
        <f aca="false">IF(G260&gt;=65,"HIGH",IF(G260&gt;=50,"MEDIUM","LOW"))</f>
        <v>LOW</v>
      </c>
    </row>
    <row r="261" customFormat="false" ht="15" hidden="false" customHeight="false" outlineLevel="0" collapsed="false">
      <c r="A261" s="2" t="str">
        <f aca="false">Person_Data!A261</f>
        <v>G24868</v>
      </c>
      <c r="B261" s="2" t="str">
        <f aca="false">Person_Data!C261</f>
        <v>Junior Warrant Officer</v>
      </c>
      <c r="C261" s="5" t="n">
        <f aca="false">Person_Data!D261</f>
        <v>2.48</v>
      </c>
      <c r="D261" s="2" t="n">
        <f aca="false">INDEX(Rank_Rules!$B$2:$B$9,MATCH(B261,Rank_Rules!$A$2:$A$9,0))</f>
        <v>1</v>
      </c>
      <c r="E261" s="2" t="n">
        <f aca="false">INDEX(Rank_Rules!$C$2:$C$9,MATCH(B261,Rank_Rules!$A$2:$A$9,0))</f>
        <v>3</v>
      </c>
      <c r="F261" s="2" t="str">
        <f aca="false">IF(AND(C261&gt;=D261,C261&lt;=E261),"OK","MISMATCH")</f>
        <v>OK</v>
      </c>
      <c r="G261" s="6" t="n">
        <f aca="false">Person_Data!H261</f>
        <v>65.1</v>
      </c>
      <c r="H261" s="2" t="str">
        <f aca="false">IF(G261&gt;=65,"HIGH",IF(G261&gt;=50,"MEDIUM","LOW"))</f>
        <v>HIGH</v>
      </c>
    </row>
    <row r="262" customFormat="false" ht="15" hidden="false" customHeight="false" outlineLevel="0" collapsed="false">
      <c r="A262" s="2" t="str">
        <f aca="false">Person_Data!A262</f>
        <v>G23314</v>
      </c>
      <c r="B262" s="2" t="str">
        <f aca="false">Person_Data!C262</f>
        <v>Warrant Officer</v>
      </c>
      <c r="C262" s="5" t="n">
        <f aca="false">Person_Data!D262</f>
        <v>3.35</v>
      </c>
      <c r="D262" s="2" t="n">
        <f aca="false">INDEX(Rank_Rules!$B$2:$B$9,MATCH(B262,Rank_Rules!$A$2:$A$9,0))</f>
        <v>3</v>
      </c>
      <c r="E262" s="2" t="n">
        <f aca="false">INDEX(Rank_Rules!$C$2:$C$9,MATCH(B262,Rank_Rules!$A$2:$A$9,0))</f>
        <v>5</v>
      </c>
      <c r="F262" s="2" t="str">
        <f aca="false">IF(AND(C262&gt;=D262,C262&lt;=E262),"OK","MISMATCH")</f>
        <v>OK</v>
      </c>
      <c r="G262" s="6" t="n">
        <f aca="false">Person_Data!H262</f>
        <v>54</v>
      </c>
      <c r="H262" s="2" t="str">
        <f aca="false">IF(G262&gt;=65,"HIGH",IF(G262&gt;=50,"MEDIUM","LOW"))</f>
        <v>MEDIUM</v>
      </c>
    </row>
    <row r="263" customFormat="false" ht="15" hidden="false" customHeight="false" outlineLevel="0" collapsed="false">
      <c r="A263" s="2" t="str">
        <f aca="false">Person_Data!A263</f>
        <v>G19777</v>
      </c>
      <c r="B263" s="2" t="str">
        <f aca="false">Person_Data!C263</f>
        <v>Senior Warrant Officer</v>
      </c>
      <c r="C263" s="5" t="n">
        <f aca="false">Person_Data!D263</f>
        <v>6.91</v>
      </c>
      <c r="D263" s="2" t="n">
        <f aca="false">INDEX(Rank_Rules!$B$2:$B$9,MATCH(B263,Rank_Rules!$A$2:$A$9,0))</f>
        <v>5</v>
      </c>
      <c r="E263" s="2" t="n">
        <f aca="false">INDEX(Rank_Rules!$C$2:$C$9,MATCH(B263,Rank_Rules!$A$2:$A$9,0))</f>
        <v>20</v>
      </c>
      <c r="F263" s="2" t="str">
        <f aca="false">IF(AND(C263&gt;=D263,C263&lt;=E263),"OK","MISMATCH")</f>
        <v>OK</v>
      </c>
      <c r="G263" s="6" t="n">
        <f aca="false">Person_Data!H263</f>
        <v>46.7</v>
      </c>
      <c r="H263" s="2" t="str">
        <f aca="false">IF(G263&gt;=65,"HIGH",IF(G263&gt;=50,"MEDIUM","LOW"))</f>
        <v>LOW</v>
      </c>
    </row>
    <row r="264" customFormat="false" ht="15" hidden="false" customHeight="false" outlineLevel="0" collapsed="false">
      <c r="A264" s="2" t="str">
        <f aca="false">Person_Data!A264</f>
        <v>G08440</v>
      </c>
      <c r="B264" s="2" t="str">
        <f aca="false">Person_Data!C264</f>
        <v>Senior Warrant Officer</v>
      </c>
      <c r="C264" s="5" t="n">
        <f aca="false">Person_Data!D264</f>
        <v>18.22</v>
      </c>
      <c r="D264" s="2" t="n">
        <f aca="false">INDEX(Rank_Rules!$B$2:$B$9,MATCH(B264,Rank_Rules!$A$2:$A$9,0))</f>
        <v>5</v>
      </c>
      <c r="E264" s="2" t="n">
        <f aca="false">INDEX(Rank_Rules!$C$2:$C$9,MATCH(B264,Rank_Rules!$A$2:$A$9,0))</f>
        <v>20</v>
      </c>
      <c r="F264" s="2" t="str">
        <f aca="false">IF(AND(C264&gt;=D264,C264&lt;=E264),"OK","MISMATCH")</f>
        <v>OK</v>
      </c>
      <c r="G264" s="6" t="n">
        <f aca="false">Person_Data!H264</f>
        <v>53.6</v>
      </c>
      <c r="H264" s="2" t="str">
        <f aca="false">IF(G264&gt;=65,"HIGH",IF(G264&gt;=50,"MEDIUM","LOW"))</f>
        <v>MEDIUM</v>
      </c>
    </row>
    <row r="265" customFormat="false" ht="15" hidden="false" customHeight="false" outlineLevel="0" collapsed="false">
      <c r="A265" s="2" t="str">
        <f aca="false">Person_Data!A265</f>
        <v>G23726</v>
      </c>
      <c r="B265" s="2" t="str">
        <f aca="false">Person_Data!C265</f>
        <v>Junior Warrant Officer</v>
      </c>
      <c r="C265" s="5" t="n">
        <f aca="false">Person_Data!D265</f>
        <v>2.7</v>
      </c>
      <c r="D265" s="2" t="n">
        <f aca="false">INDEX(Rank_Rules!$B$2:$B$9,MATCH(B265,Rank_Rules!$A$2:$A$9,0))</f>
        <v>1</v>
      </c>
      <c r="E265" s="2" t="n">
        <f aca="false">INDEX(Rank_Rules!$C$2:$C$9,MATCH(B265,Rank_Rules!$A$2:$A$9,0))</f>
        <v>3</v>
      </c>
      <c r="F265" s="2" t="str">
        <f aca="false">IF(AND(C265&gt;=D265,C265&lt;=E265),"OK","MISMATCH")</f>
        <v>OK</v>
      </c>
      <c r="G265" s="6" t="n">
        <f aca="false">Person_Data!H265</f>
        <v>36.6</v>
      </c>
      <c r="H265" s="2" t="str">
        <f aca="false">IF(G265&gt;=65,"HIGH",IF(G265&gt;=50,"MEDIUM","LOW"))</f>
        <v>LOW</v>
      </c>
    </row>
    <row r="266" customFormat="false" ht="15" hidden="false" customHeight="false" outlineLevel="0" collapsed="false">
      <c r="A266" s="2" t="str">
        <f aca="false">Person_Data!A266</f>
        <v>G11657</v>
      </c>
      <c r="B266" s="2" t="str">
        <f aca="false">Person_Data!C266</f>
        <v>Senior Warrant Officer</v>
      </c>
      <c r="C266" s="5" t="n">
        <f aca="false">Person_Data!D266</f>
        <v>15.17</v>
      </c>
      <c r="D266" s="2" t="n">
        <f aca="false">INDEX(Rank_Rules!$B$2:$B$9,MATCH(B266,Rank_Rules!$A$2:$A$9,0))</f>
        <v>5</v>
      </c>
      <c r="E266" s="2" t="n">
        <f aca="false">INDEX(Rank_Rules!$C$2:$C$9,MATCH(B266,Rank_Rules!$A$2:$A$9,0))</f>
        <v>20</v>
      </c>
      <c r="F266" s="2" t="str">
        <f aca="false">IF(AND(C266&gt;=D266,C266&lt;=E266),"OK","MISMATCH")</f>
        <v>OK</v>
      </c>
      <c r="G266" s="6" t="n">
        <f aca="false">Person_Data!H266</f>
        <v>55.9</v>
      </c>
      <c r="H266" s="2" t="str">
        <f aca="false">IF(G266&gt;=65,"HIGH",IF(G266&gt;=50,"MEDIUM","LOW"))</f>
        <v>MEDIUM</v>
      </c>
    </row>
    <row r="267" customFormat="false" ht="15" hidden="false" customHeight="false" outlineLevel="0" collapsed="false">
      <c r="A267" s="2" t="str">
        <f aca="false">Person_Data!A267</f>
        <v>G21722</v>
      </c>
      <c r="B267" s="2" t="str">
        <f aca="false">Person_Data!C267</f>
        <v>Warrant Officer</v>
      </c>
      <c r="C267" s="5" t="n">
        <f aca="false">Person_Data!D267</f>
        <v>4.77</v>
      </c>
      <c r="D267" s="2" t="n">
        <f aca="false">INDEX(Rank_Rules!$B$2:$B$9,MATCH(B267,Rank_Rules!$A$2:$A$9,0))</f>
        <v>3</v>
      </c>
      <c r="E267" s="2" t="n">
        <f aca="false">INDEX(Rank_Rules!$C$2:$C$9,MATCH(B267,Rank_Rules!$A$2:$A$9,0))</f>
        <v>5</v>
      </c>
      <c r="F267" s="2" t="str">
        <f aca="false">IF(AND(C267&gt;=D267,C267&lt;=E267),"OK","MISMATCH")</f>
        <v>OK</v>
      </c>
      <c r="G267" s="6" t="n">
        <f aca="false">Person_Data!H267</f>
        <v>33.5</v>
      </c>
      <c r="H267" s="2" t="str">
        <f aca="false">IF(G267&gt;=65,"HIGH",IF(G267&gt;=50,"MEDIUM","LOW"))</f>
        <v>LOW</v>
      </c>
    </row>
    <row r="268" customFormat="false" ht="15" hidden="false" customHeight="false" outlineLevel="0" collapsed="false">
      <c r="A268" s="2" t="str">
        <f aca="false">Person_Data!A268</f>
        <v>G22580</v>
      </c>
      <c r="B268" s="2" t="str">
        <f aca="false">Person_Data!C268</f>
        <v>Warrant Officer</v>
      </c>
      <c r="C268" s="5" t="n">
        <f aca="false">Person_Data!D268</f>
        <v>4.35</v>
      </c>
      <c r="D268" s="2" t="n">
        <f aca="false">INDEX(Rank_Rules!$B$2:$B$9,MATCH(B268,Rank_Rules!$A$2:$A$9,0))</f>
        <v>3</v>
      </c>
      <c r="E268" s="2" t="n">
        <f aca="false">INDEX(Rank_Rules!$C$2:$C$9,MATCH(B268,Rank_Rules!$A$2:$A$9,0))</f>
        <v>5</v>
      </c>
      <c r="F268" s="2" t="str">
        <f aca="false">IF(AND(C268&gt;=D268,C268&lt;=E268),"OK","MISMATCH")</f>
        <v>OK</v>
      </c>
      <c r="G268" s="6" t="n">
        <f aca="false">Person_Data!H268</f>
        <v>53.5</v>
      </c>
      <c r="H268" s="2" t="str">
        <f aca="false">IF(G268&gt;=65,"HIGH",IF(G268&gt;=50,"MEDIUM","LOW"))</f>
        <v>MEDIUM</v>
      </c>
    </row>
    <row r="269" customFormat="false" ht="15" hidden="false" customHeight="false" outlineLevel="0" collapsed="false">
      <c r="A269" s="2" t="str">
        <f aca="false">Person_Data!A269</f>
        <v>G16308</v>
      </c>
      <c r="B269" s="2" t="str">
        <f aca="false">Person_Data!C269</f>
        <v>Senior Warrant Officer</v>
      </c>
      <c r="C269" s="5" t="n">
        <f aca="false">Person_Data!D269</f>
        <v>9.84</v>
      </c>
      <c r="D269" s="2" t="n">
        <f aca="false">INDEX(Rank_Rules!$B$2:$B$9,MATCH(B269,Rank_Rules!$A$2:$A$9,0))</f>
        <v>5</v>
      </c>
      <c r="E269" s="2" t="n">
        <f aca="false">INDEX(Rank_Rules!$C$2:$C$9,MATCH(B269,Rank_Rules!$A$2:$A$9,0))</f>
        <v>20</v>
      </c>
      <c r="F269" s="2" t="str">
        <f aca="false">IF(AND(C269&gt;=D269,C269&lt;=E269),"OK","MISMATCH")</f>
        <v>OK</v>
      </c>
      <c r="G269" s="6" t="n">
        <f aca="false">Person_Data!H269</f>
        <v>53.9</v>
      </c>
      <c r="H269" s="2" t="str">
        <f aca="false">IF(G269&gt;=65,"HIGH",IF(G269&gt;=50,"MEDIUM","LOW"))</f>
        <v>MEDIUM</v>
      </c>
    </row>
    <row r="270" customFormat="false" ht="15" hidden="false" customHeight="false" outlineLevel="0" collapsed="false">
      <c r="A270" s="2" t="str">
        <f aca="false">Person_Data!A270</f>
        <v>G23263</v>
      </c>
      <c r="B270" s="2" t="str">
        <f aca="false">Person_Data!C270</f>
        <v>Warrant Officer</v>
      </c>
      <c r="C270" s="5" t="n">
        <f aca="false">Person_Data!D270</f>
        <v>3.24</v>
      </c>
      <c r="D270" s="2" t="n">
        <f aca="false">INDEX(Rank_Rules!$B$2:$B$9,MATCH(B270,Rank_Rules!$A$2:$A$9,0))</f>
        <v>3</v>
      </c>
      <c r="E270" s="2" t="n">
        <f aca="false">INDEX(Rank_Rules!$C$2:$C$9,MATCH(B270,Rank_Rules!$A$2:$A$9,0))</f>
        <v>5</v>
      </c>
      <c r="F270" s="2" t="str">
        <f aca="false">IF(AND(C270&gt;=D270,C270&lt;=E270),"OK","MISMATCH")</f>
        <v>OK</v>
      </c>
      <c r="G270" s="6" t="n">
        <f aca="false">Person_Data!H270</f>
        <v>47.2</v>
      </c>
      <c r="H270" s="2" t="str">
        <f aca="false">IF(G270&gt;=65,"HIGH",IF(G270&gt;=50,"MEDIUM","LOW"))</f>
        <v>LOW</v>
      </c>
    </row>
    <row r="271" customFormat="false" ht="15" hidden="false" customHeight="false" outlineLevel="0" collapsed="false">
      <c r="A271" s="2" t="str">
        <f aca="false">Person_Data!A271</f>
        <v>G22662</v>
      </c>
      <c r="B271" s="2" t="str">
        <f aca="false">Person_Data!C271</f>
        <v>Warrant Officer</v>
      </c>
      <c r="C271" s="5" t="n">
        <f aca="false">Person_Data!D271</f>
        <v>4.03</v>
      </c>
      <c r="D271" s="2" t="n">
        <f aca="false">INDEX(Rank_Rules!$B$2:$B$9,MATCH(B271,Rank_Rules!$A$2:$A$9,0))</f>
        <v>3</v>
      </c>
      <c r="E271" s="2" t="n">
        <f aca="false">INDEX(Rank_Rules!$C$2:$C$9,MATCH(B271,Rank_Rules!$A$2:$A$9,0))</f>
        <v>5</v>
      </c>
      <c r="F271" s="2" t="str">
        <f aca="false">IF(AND(C271&gt;=D271,C271&lt;=E271),"OK","MISMATCH")</f>
        <v>OK</v>
      </c>
      <c r="G271" s="6" t="n">
        <f aca="false">Person_Data!H271</f>
        <v>57.1</v>
      </c>
      <c r="H271" s="2" t="str">
        <f aca="false">IF(G271&gt;=65,"HIGH",IF(G271&gt;=50,"MEDIUM","LOW"))</f>
        <v>MEDIUM</v>
      </c>
    </row>
    <row r="272" customFormat="false" ht="15" hidden="false" customHeight="false" outlineLevel="0" collapsed="false">
      <c r="A272" s="2" t="str">
        <f aca="false">Person_Data!A272</f>
        <v>G20911</v>
      </c>
      <c r="B272" s="2" t="str">
        <f aca="false">Person_Data!C272</f>
        <v>Senior Warrant Officer</v>
      </c>
      <c r="C272" s="5" t="n">
        <f aca="false">Person_Data!D272</f>
        <v>5.7</v>
      </c>
      <c r="D272" s="2" t="n">
        <f aca="false">INDEX(Rank_Rules!$B$2:$B$9,MATCH(B272,Rank_Rules!$A$2:$A$9,0))</f>
        <v>5</v>
      </c>
      <c r="E272" s="2" t="n">
        <f aca="false">INDEX(Rank_Rules!$C$2:$C$9,MATCH(B272,Rank_Rules!$A$2:$A$9,0))</f>
        <v>20</v>
      </c>
      <c r="F272" s="2" t="str">
        <f aca="false">IF(AND(C272&gt;=D272,C272&lt;=E272),"OK","MISMATCH")</f>
        <v>OK</v>
      </c>
      <c r="G272" s="6" t="n">
        <f aca="false">Person_Data!H272</f>
        <v>70.1</v>
      </c>
      <c r="H272" s="2" t="str">
        <f aca="false">IF(G272&gt;=65,"HIGH",IF(G272&gt;=50,"MEDIUM","LOW"))</f>
        <v>HIGH</v>
      </c>
    </row>
    <row r="273" customFormat="false" ht="15" hidden="false" customHeight="false" outlineLevel="0" collapsed="false">
      <c r="A273" s="2" t="str">
        <f aca="false">Person_Data!A273</f>
        <v>G22464</v>
      </c>
      <c r="B273" s="2" t="str">
        <f aca="false">Person_Data!C273</f>
        <v>Warrant Officer</v>
      </c>
      <c r="C273" s="5" t="n">
        <f aca="false">Person_Data!D273</f>
        <v>3.63</v>
      </c>
      <c r="D273" s="2" t="n">
        <f aca="false">INDEX(Rank_Rules!$B$2:$B$9,MATCH(B273,Rank_Rules!$A$2:$A$9,0))</f>
        <v>3</v>
      </c>
      <c r="E273" s="2" t="n">
        <f aca="false">INDEX(Rank_Rules!$C$2:$C$9,MATCH(B273,Rank_Rules!$A$2:$A$9,0))</f>
        <v>5</v>
      </c>
      <c r="F273" s="2" t="str">
        <f aca="false">IF(AND(C273&gt;=D273,C273&lt;=E273),"OK","MISMATCH")</f>
        <v>OK</v>
      </c>
      <c r="G273" s="6" t="n">
        <f aca="false">Person_Data!H273</f>
        <v>58.2</v>
      </c>
      <c r="H273" s="2" t="str">
        <f aca="false">IF(G273&gt;=65,"HIGH",IF(G273&gt;=50,"MEDIUM","LOW"))</f>
        <v>MEDIUM</v>
      </c>
    </row>
    <row r="274" customFormat="false" ht="15" hidden="false" customHeight="false" outlineLevel="0" collapsed="false">
      <c r="A274" s="2" t="str">
        <f aca="false">Person_Data!A274</f>
        <v>G21369</v>
      </c>
      <c r="B274" s="2" t="str">
        <f aca="false">Person_Data!C274</f>
        <v>Warrant Officer</v>
      </c>
      <c r="C274" s="5" t="n">
        <f aca="false">Person_Data!D274</f>
        <v>4.76</v>
      </c>
      <c r="D274" s="2" t="n">
        <f aca="false">INDEX(Rank_Rules!$B$2:$B$9,MATCH(B274,Rank_Rules!$A$2:$A$9,0))</f>
        <v>3</v>
      </c>
      <c r="E274" s="2" t="n">
        <f aca="false">INDEX(Rank_Rules!$C$2:$C$9,MATCH(B274,Rank_Rules!$A$2:$A$9,0))</f>
        <v>5</v>
      </c>
      <c r="F274" s="2" t="str">
        <f aca="false">IF(AND(C274&gt;=D274,C274&lt;=E274),"OK","MISMATCH")</f>
        <v>OK</v>
      </c>
      <c r="G274" s="6" t="n">
        <f aca="false">Person_Data!H274</f>
        <v>49.7</v>
      </c>
      <c r="H274" s="2" t="str">
        <f aca="false">IF(G274&gt;=65,"HIGH",IF(G274&gt;=50,"MEDIUM","LOW"))</f>
        <v>LOW</v>
      </c>
    </row>
    <row r="275" customFormat="false" ht="15" hidden="false" customHeight="false" outlineLevel="0" collapsed="false">
      <c r="A275" s="2" t="str">
        <f aca="false">Person_Data!A275</f>
        <v>G18149</v>
      </c>
      <c r="B275" s="2" t="str">
        <f aca="false">Person_Data!C275</f>
        <v>Senior Warrant Officer</v>
      </c>
      <c r="C275" s="5" t="n">
        <f aca="false">Person_Data!D275</f>
        <v>8.38</v>
      </c>
      <c r="D275" s="2" t="n">
        <f aca="false">INDEX(Rank_Rules!$B$2:$B$9,MATCH(B275,Rank_Rules!$A$2:$A$9,0))</f>
        <v>5</v>
      </c>
      <c r="E275" s="2" t="n">
        <f aca="false">INDEX(Rank_Rules!$C$2:$C$9,MATCH(B275,Rank_Rules!$A$2:$A$9,0))</f>
        <v>20</v>
      </c>
      <c r="F275" s="2" t="str">
        <f aca="false">IF(AND(C275&gt;=D275,C275&lt;=E275),"OK","MISMATCH")</f>
        <v>OK</v>
      </c>
      <c r="G275" s="6" t="n">
        <f aca="false">Person_Data!H275</f>
        <v>52.2</v>
      </c>
      <c r="H275" s="2" t="str">
        <f aca="false">IF(G275&gt;=65,"HIGH",IF(G275&gt;=50,"MEDIUM","LOW"))</f>
        <v>MEDIUM</v>
      </c>
    </row>
    <row r="276" customFormat="false" ht="15" hidden="false" customHeight="false" outlineLevel="0" collapsed="false">
      <c r="A276" s="2" t="str">
        <f aca="false">Person_Data!A276</f>
        <v>G07690</v>
      </c>
      <c r="B276" s="2" t="str">
        <f aca="false">Person_Data!C276</f>
        <v>Senior Warrant Officer</v>
      </c>
      <c r="C276" s="5" t="n">
        <f aca="false">Person_Data!D276</f>
        <v>18.75</v>
      </c>
      <c r="D276" s="2" t="n">
        <f aca="false">INDEX(Rank_Rules!$B$2:$B$9,MATCH(B276,Rank_Rules!$A$2:$A$9,0))</f>
        <v>5</v>
      </c>
      <c r="E276" s="2" t="n">
        <f aca="false">INDEX(Rank_Rules!$C$2:$C$9,MATCH(B276,Rank_Rules!$A$2:$A$9,0))</f>
        <v>20</v>
      </c>
      <c r="F276" s="2" t="str">
        <f aca="false">IF(AND(C276&gt;=D276,C276&lt;=E276),"OK","MISMATCH")</f>
        <v>OK</v>
      </c>
      <c r="G276" s="6" t="n">
        <f aca="false">Person_Data!H276</f>
        <v>33.3</v>
      </c>
      <c r="H276" s="2" t="str">
        <f aca="false">IF(G276&gt;=65,"HIGH",IF(G276&gt;=50,"MEDIUM","LOW"))</f>
        <v>LOW</v>
      </c>
    </row>
    <row r="277" customFormat="false" ht="15" hidden="false" customHeight="false" outlineLevel="0" collapsed="false">
      <c r="A277" s="2" t="str">
        <f aca="false">Person_Data!A277</f>
        <v>G23804</v>
      </c>
      <c r="B277" s="2" t="str">
        <f aca="false">Person_Data!C277</f>
        <v>Warrant Officer</v>
      </c>
      <c r="C277" s="5" t="n">
        <f aca="false">Person_Data!D277</f>
        <v>3.13</v>
      </c>
      <c r="D277" s="2" t="n">
        <f aca="false">INDEX(Rank_Rules!$B$2:$B$9,MATCH(B277,Rank_Rules!$A$2:$A$9,0))</f>
        <v>3</v>
      </c>
      <c r="E277" s="2" t="n">
        <f aca="false">INDEX(Rank_Rules!$C$2:$C$9,MATCH(B277,Rank_Rules!$A$2:$A$9,0))</f>
        <v>5</v>
      </c>
      <c r="F277" s="2" t="str">
        <f aca="false">IF(AND(C277&gt;=D277,C277&lt;=E277),"OK","MISMATCH")</f>
        <v>OK</v>
      </c>
      <c r="G277" s="6" t="n">
        <f aca="false">Person_Data!H277</f>
        <v>57.4</v>
      </c>
      <c r="H277" s="2" t="str">
        <f aca="false">IF(G277&gt;=65,"HIGH",IF(G277&gt;=50,"MEDIUM","LOW"))</f>
        <v>MEDIUM</v>
      </c>
    </row>
    <row r="278" customFormat="false" ht="15" hidden="false" customHeight="false" outlineLevel="0" collapsed="false">
      <c r="A278" s="2" t="str">
        <f aca="false">Person_Data!A278</f>
        <v>G24311</v>
      </c>
      <c r="B278" s="2" t="str">
        <f aca="false">Person_Data!C278</f>
        <v>Junior Warrant Officer</v>
      </c>
      <c r="C278" s="5" t="n">
        <f aca="false">Person_Data!D278</f>
        <v>1.86</v>
      </c>
      <c r="D278" s="2" t="n">
        <f aca="false">INDEX(Rank_Rules!$B$2:$B$9,MATCH(B278,Rank_Rules!$A$2:$A$9,0))</f>
        <v>1</v>
      </c>
      <c r="E278" s="2" t="n">
        <f aca="false">INDEX(Rank_Rules!$C$2:$C$9,MATCH(B278,Rank_Rules!$A$2:$A$9,0))</f>
        <v>3</v>
      </c>
      <c r="F278" s="2" t="str">
        <f aca="false">IF(AND(C278&gt;=D278,C278&lt;=E278),"OK","MISMATCH")</f>
        <v>OK</v>
      </c>
      <c r="G278" s="6" t="n">
        <f aca="false">Person_Data!H278</f>
        <v>46.4</v>
      </c>
      <c r="H278" s="2" t="str">
        <f aca="false">IF(G278&gt;=65,"HIGH",IF(G278&gt;=50,"MEDIUM","LOW"))</f>
        <v>LOW</v>
      </c>
    </row>
    <row r="279" customFormat="false" ht="15" hidden="false" customHeight="false" outlineLevel="0" collapsed="false">
      <c r="A279" s="2" t="str">
        <f aca="false">Person_Data!A279</f>
        <v>G07820</v>
      </c>
      <c r="B279" s="2" t="str">
        <f aca="false">Person_Data!C279</f>
        <v>Senior Warrant Officer</v>
      </c>
      <c r="C279" s="5" t="n">
        <f aca="false">Person_Data!D279</f>
        <v>19.03</v>
      </c>
      <c r="D279" s="2" t="n">
        <f aca="false">INDEX(Rank_Rules!$B$2:$B$9,MATCH(B279,Rank_Rules!$A$2:$A$9,0))</f>
        <v>5</v>
      </c>
      <c r="E279" s="2" t="n">
        <f aca="false">INDEX(Rank_Rules!$C$2:$C$9,MATCH(B279,Rank_Rules!$A$2:$A$9,0))</f>
        <v>20</v>
      </c>
      <c r="F279" s="2" t="str">
        <f aca="false">IF(AND(C279&gt;=D279,C279&lt;=E279),"OK","MISMATCH")</f>
        <v>OK</v>
      </c>
      <c r="G279" s="6" t="n">
        <f aca="false">Person_Data!H279</f>
        <v>46.1</v>
      </c>
      <c r="H279" s="2" t="str">
        <f aca="false">IF(G279&gt;=65,"HIGH",IF(G279&gt;=50,"MEDIUM","LOW"))</f>
        <v>LOW</v>
      </c>
    </row>
    <row r="280" customFormat="false" ht="15" hidden="false" customHeight="false" outlineLevel="0" collapsed="false">
      <c r="A280" s="2" t="str">
        <f aca="false">Person_Data!A280</f>
        <v>G24390</v>
      </c>
      <c r="B280" s="2" t="str">
        <f aca="false">Person_Data!C280</f>
        <v>Junior Warrant Officer</v>
      </c>
      <c r="C280" s="5" t="n">
        <f aca="false">Person_Data!D280</f>
        <v>1.95</v>
      </c>
      <c r="D280" s="2" t="n">
        <f aca="false">INDEX(Rank_Rules!$B$2:$B$9,MATCH(B280,Rank_Rules!$A$2:$A$9,0))</f>
        <v>1</v>
      </c>
      <c r="E280" s="2" t="n">
        <f aca="false">INDEX(Rank_Rules!$C$2:$C$9,MATCH(B280,Rank_Rules!$A$2:$A$9,0))</f>
        <v>3</v>
      </c>
      <c r="F280" s="2" t="str">
        <f aca="false">IF(AND(C280&gt;=D280,C280&lt;=E280),"OK","MISMATCH")</f>
        <v>OK</v>
      </c>
      <c r="G280" s="6" t="n">
        <f aca="false">Person_Data!H280</f>
        <v>45.7</v>
      </c>
      <c r="H280" s="2" t="str">
        <f aca="false">IF(G280&gt;=65,"HIGH",IF(G280&gt;=50,"MEDIUM","LOW"))</f>
        <v>LOW</v>
      </c>
    </row>
    <row r="281" customFormat="false" ht="15" hidden="false" customHeight="false" outlineLevel="0" collapsed="false">
      <c r="A281" s="2" t="str">
        <f aca="false">Person_Data!A281</f>
        <v>G09841</v>
      </c>
      <c r="B281" s="2" t="str">
        <f aca="false">Person_Data!C281</f>
        <v>Senior Warrant Officer</v>
      </c>
      <c r="C281" s="5" t="n">
        <f aca="false">Person_Data!D281</f>
        <v>17.32</v>
      </c>
      <c r="D281" s="2" t="n">
        <f aca="false">INDEX(Rank_Rules!$B$2:$B$9,MATCH(B281,Rank_Rules!$A$2:$A$9,0))</f>
        <v>5</v>
      </c>
      <c r="E281" s="2" t="n">
        <f aca="false">INDEX(Rank_Rules!$C$2:$C$9,MATCH(B281,Rank_Rules!$A$2:$A$9,0))</f>
        <v>20</v>
      </c>
      <c r="F281" s="2" t="str">
        <f aca="false">IF(AND(C281&gt;=D281,C281&lt;=E281),"OK","MISMATCH")</f>
        <v>OK</v>
      </c>
      <c r="G281" s="6" t="n">
        <f aca="false">Person_Data!H281</f>
        <v>55.4</v>
      </c>
      <c r="H281" s="2" t="str">
        <f aca="false">IF(G281&gt;=65,"HIGH",IF(G281&gt;=50,"MEDIUM","LOW"))</f>
        <v>MEDIUM</v>
      </c>
    </row>
    <row r="282" customFormat="false" ht="15" hidden="false" customHeight="false" outlineLevel="0" collapsed="false">
      <c r="A282" s="2" t="str">
        <f aca="false">Person_Data!A282</f>
        <v>G25584</v>
      </c>
      <c r="B282" s="2" t="str">
        <f aca="false">Person_Data!C282</f>
        <v>Junior Warrant Officer</v>
      </c>
      <c r="C282" s="5" t="n">
        <f aca="false">Person_Data!D282</f>
        <v>1.15</v>
      </c>
      <c r="D282" s="2" t="n">
        <f aca="false">INDEX(Rank_Rules!$B$2:$B$9,MATCH(B282,Rank_Rules!$A$2:$A$9,0))</f>
        <v>1</v>
      </c>
      <c r="E282" s="2" t="n">
        <f aca="false">INDEX(Rank_Rules!$C$2:$C$9,MATCH(B282,Rank_Rules!$A$2:$A$9,0))</f>
        <v>3</v>
      </c>
      <c r="F282" s="2" t="str">
        <f aca="false">IF(AND(C282&gt;=D282,C282&lt;=E282),"OK","MISMATCH")</f>
        <v>OK</v>
      </c>
      <c r="G282" s="6" t="n">
        <f aca="false">Person_Data!H282</f>
        <v>57.4</v>
      </c>
      <c r="H282" s="2" t="str">
        <f aca="false">IF(G282&gt;=65,"HIGH",IF(G282&gt;=50,"MEDIUM","LOW"))</f>
        <v>MEDIUM</v>
      </c>
    </row>
    <row r="283" customFormat="false" ht="15" hidden="false" customHeight="false" outlineLevel="0" collapsed="false">
      <c r="A283" s="2" t="str">
        <f aca="false">Person_Data!A283</f>
        <v>G23074</v>
      </c>
      <c r="B283" s="2" t="str">
        <f aca="false">Person_Data!C283</f>
        <v>Warrant Officer</v>
      </c>
      <c r="C283" s="5" t="n">
        <f aca="false">Person_Data!D283</f>
        <v>3.19</v>
      </c>
      <c r="D283" s="2" t="n">
        <f aca="false">INDEX(Rank_Rules!$B$2:$B$9,MATCH(B283,Rank_Rules!$A$2:$A$9,0))</f>
        <v>3</v>
      </c>
      <c r="E283" s="2" t="n">
        <f aca="false">INDEX(Rank_Rules!$C$2:$C$9,MATCH(B283,Rank_Rules!$A$2:$A$9,0))</f>
        <v>5</v>
      </c>
      <c r="F283" s="2" t="str">
        <f aca="false">IF(AND(C283&gt;=D283,C283&lt;=E283),"OK","MISMATCH")</f>
        <v>OK</v>
      </c>
      <c r="G283" s="6" t="n">
        <f aca="false">Person_Data!H283</f>
        <v>48.1</v>
      </c>
      <c r="H283" s="2" t="str">
        <f aca="false">IF(G283&gt;=65,"HIGH",IF(G283&gt;=50,"MEDIUM","LOW"))</f>
        <v>LOW</v>
      </c>
    </row>
    <row r="284" customFormat="false" ht="15" hidden="false" customHeight="false" outlineLevel="0" collapsed="false">
      <c r="A284" s="2" t="str">
        <f aca="false">Person_Data!A284</f>
        <v>G23810</v>
      </c>
      <c r="B284" s="2" t="str">
        <f aca="false">Person_Data!C284</f>
        <v>Junior Warrant Officer</v>
      </c>
      <c r="C284" s="5" t="n">
        <f aca="false">Person_Data!D284</f>
        <v>2.95</v>
      </c>
      <c r="D284" s="2" t="n">
        <f aca="false">INDEX(Rank_Rules!$B$2:$B$9,MATCH(B284,Rank_Rules!$A$2:$A$9,0))</f>
        <v>1</v>
      </c>
      <c r="E284" s="2" t="n">
        <f aca="false">INDEX(Rank_Rules!$C$2:$C$9,MATCH(B284,Rank_Rules!$A$2:$A$9,0))</f>
        <v>3</v>
      </c>
      <c r="F284" s="2" t="str">
        <f aca="false">IF(AND(C284&gt;=D284,C284&lt;=E284),"OK","MISMATCH")</f>
        <v>OK</v>
      </c>
      <c r="G284" s="6" t="n">
        <f aca="false">Person_Data!H284</f>
        <v>58.9</v>
      </c>
      <c r="H284" s="2" t="str">
        <f aca="false">IF(G284&gt;=65,"HIGH",IF(G284&gt;=50,"MEDIUM","LOW"))</f>
        <v>MEDIUM</v>
      </c>
    </row>
    <row r="285" customFormat="false" ht="15" hidden="false" customHeight="false" outlineLevel="0" collapsed="false">
      <c r="A285" s="2" t="str">
        <f aca="false">Person_Data!A285</f>
        <v>G21565</v>
      </c>
      <c r="B285" s="2" t="str">
        <f aca="false">Person_Data!C285</f>
        <v>Warrant Officer</v>
      </c>
      <c r="C285" s="5" t="n">
        <f aca="false">Person_Data!D285</f>
        <v>4.78</v>
      </c>
      <c r="D285" s="2" t="n">
        <f aca="false">INDEX(Rank_Rules!$B$2:$B$9,MATCH(B285,Rank_Rules!$A$2:$A$9,0))</f>
        <v>3</v>
      </c>
      <c r="E285" s="2" t="n">
        <f aca="false">INDEX(Rank_Rules!$C$2:$C$9,MATCH(B285,Rank_Rules!$A$2:$A$9,0))</f>
        <v>5</v>
      </c>
      <c r="F285" s="2" t="str">
        <f aca="false">IF(AND(C285&gt;=D285,C285&lt;=E285),"OK","MISMATCH")</f>
        <v>OK</v>
      </c>
      <c r="G285" s="6" t="n">
        <f aca="false">Person_Data!H285</f>
        <v>48.1</v>
      </c>
      <c r="H285" s="2" t="str">
        <f aca="false">IF(G285&gt;=65,"HIGH",IF(G285&gt;=50,"MEDIUM","LOW"))</f>
        <v>LOW</v>
      </c>
    </row>
    <row r="286" customFormat="false" ht="15" hidden="false" customHeight="false" outlineLevel="0" collapsed="false">
      <c r="A286" s="2" t="str">
        <f aca="false">Person_Data!A286</f>
        <v>G20187</v>
      </c>
      <c r="B286" s="2" t="str">
        <f aca="false">Person_Data!C286</f>
        <v>Senior Warrant Officer</v>
      </c>
      <c r="C286" s="5" t="n">
        <f aca="false">Person_Data!D286</f>
        <v>5.93</v>
      </c>
      <c r="D286" s="2" t="n">
        <f aca="false">INDEX(Rank_Rules!$B$2:$B$9,MATCH(B286,Rank_Rules!$A$2:$A$9,0))</f>
        <v>5</v>
      </c>
      <c r="E286" s="2" t="n">
        <f aca="false">INDEX(Rank_Rules!$C$2:$C$9,MATCH(B286,Rank_Rules!$A$2:$A$9,0))</f>
        <v>20</v>
      </c>
      <c r="F286" s="2" t="str">
        <f aca="false">IF(AND(C286&gt;=D286,C286&lt;=E286),"OK","MISMATCH")</f>
        <v>OK</v>
      </c>
      <c r="G286" s="6" t="n">
        <f aca="false">Person_Data!H286</f>
        <v>46.4</v>
      </c>
      <c r="H286" s="2" t="str">
        <f aca="false">IF(G286&gt;=65,"HIGH",IF(G286&gt;=50,"MEDIUM","LOW"))</f>
        <v>LOW</v>
      </c>
    </row>
    <row r="287" customFormat="false" ht="15" hidden="false" customHeight="false" outlineLevel="0" collapsed="false">
      <c r="A287" s="2" t="str">
        <f aca="false">Person_Data!A287</f>
        <v>G24951</v>
      </c>
      <c r="B287" s="2" t="str">
        <f aca="false">Person_Data!C287</f>
        <v>Junior Warrant Officer</v>
      </c>
      <c r="C287" s="5" t="n">
        <f aca="false">Person_Data!D287</f>
        <v>2.22</v>
      </c>
      <c r="D287" s="2" t="n">
        <f aca="false">INDEX(Rank_Rules!$B$2:$B$9,MATCH(B287,Rank_Rules!$A$2:$A$9,0))</f>
        <v>1</v>
      </c>
      <c r="E287" s="2" t="n">
        <f aca="false">INDEX(Rank_Rules!$C$2:$C$9,MATCH(B287,Rank_Rules!$A$2:$A$9,0))</f>
        <v>3</v>
      </c>
      <c r="F287" s="2" t="str">
        <f aca="false">IF(AND(C287&gt;=D287,C287&lt;=E287),"OK","MISMATCH")</f>
        <v>OK</v>
      </c>
      <c r="G287" s="6" t="n">
        <f aca="false">Person_Data!H287</f>
        <v>48.1</v>
      </c>
      <c r="H287" s="2" t="str">
        <f aca="false">IF(G287&gt;=65,"HIGH",IF(G287&gt;=50,"MEDIUM","LOW"))</f>
        <v>LOW</v>
      </c>
    </row>
    <row r="288" customFormat="false" ht="15" hidden="false" customHeight="false" outlineLevel="0" collapsed="false">
      <c r="A288" s="2" t="str">
        <f aca="false">Person_Data!A288</f>
        <v>G25456</v>
      </c>
      <c r="B288" s="2" t="str">
        <f aca="false">Person_Data!C288</f>
        <v>Junior Warrant Officer</v>
      </c>
      <c r="C288" s="5" t="n">
        <f aca="false">Person_Data!D288</f>
        <v>1.11</v>
      </c>
      <c r="D288" s="2" t="n">
        <f aca="false">INDEX(Rank_Rules!$B$2:$B$9,MATCH(B288,Rank_Rules!$A$2:$A$9,0))</f>
        <v>1</v>
      </c>
      <c r="E288" s="2" t="n">
        <f aca="false">INDEX(Rank_Rules!$C$2:$C$9,MATCH(B288,Rank_Rules!$A$2:$A$9,0))</f>
        <v>3</v>
      </c>
      <c r="F288" s="2" t="str">
        <f aca="false">IF(AND(C288&gt;=D288,C288&lt;=E288),"OK","MISMATCH")</f>
        <v>OK</v>
      </c>
      <c r="G288" s="6" t="n">
        <f aca="false">Person_Data!H288</f>
        <v>58.6</v>
      </c>
      <c r="H288" s="2" t="str">
        <f aca="false">IF(G288&gt;=65,"HIGH",IF(G288&gt;=50,"MEDIUM","LOW"))</f>
        <v>MEDIUM</v>
      </c>
    </row>
    <row r="289" customFormat="false" ht="15" hidden="false" customHeight="false" outlineLevel="0" collapsed="false">
      <c r="A289" s="2" t="str">
        <f aca="false">Person_Data!A289</f>
        <v>G15955</v>
      </c>
      <c r="B289" s="2" t="str">
        <f aca="false">Person_Data!C289</f>
        <v>Senior Warrant Officer</v>
      </c>
      <c r="C289" s="5" t="n">
        <f aca="false">Person_Data!D289</f>
        <v>11.03</v>
      </c>
      <c r="D289" s="2" t="n">
        <f aca="false">INDEX(Rank_Rules!$B$2:$B$9,MATCH(B289,Rank_Rules!$A$2:$A$9,0))</f>
        <v>5</v>
      </c>
      <c r="E289" s="2" t="n">
        <f aca="false">INDEX(Rank_Rules!$C$2:$C$9,MATCH(B289,Rank_Rules!$A$2:$A$9,0))</f>
        <v>20</v>
      </c>
      <c r="F289" s="2" t="str">
        <f aca="false">IF(AND(C289&gt;=D289,C289&lt;=E289),"OK","MISMATCH")</f>
        <v>OK</v>
      </c>
      <c r="G289" s="6" t="n">
        <f aca="false">Person_Data!H289</f>
        <v>48.1</v>
      </c>
      <c r="H289" s="2" t="str">
        <f aca="false">IF(G289&gt;=65,"HIGH",IF(G289&gt;=50,"MEDIUM","LOW"))</f>
        <v>LOW</v>
      </c>
    </row>
    <row r="290" customFormat="false" ht="15" hidden="false" customHeight="false" outlineLevel="0" collapsed="false">
      <c r="A290" s="2" t="str">
        <f aca="false">Person_Data!A290</f>
        <v>G21305</v>
      </c>
      <c r="B290" s="2" t="str">
        <f aca="false">Person_Data!C290</f>
        <v>Warrant Officer</v>
      </c>
      <c r="C290" s="5" t="n">
        <f aca="false">Person_Data!D290</f>
        <v>4.73</v>
      </c>
      <c r="D290" s="2" t="n">
        <f aca="false">INDEX(Rank_Rules!$B$2:$B$9,MATCH(B290,Rank_Rules!$A$2:$A$9,0))</f>
        <v>3</v>
      </c>
      <c r="E290" s="2" t="n">
        <f aca="false">INDEX(Rank_Rules!$C$2:$C$9,MATCH(B290,Rank_Rules!$A$2:$A$9,0))</f>
        <v>5</v>
      </c>
      <c r="F290" s="2" t="str">
        <f aca="false">IF(AND(C290&gt;=D290,C290&lt;=E290),"OK","MISMATCH")</f>
        <v>OK</v>
      </c>
      <c r="G290" s="6" t="n">
        <f aca="false">Person_Data!H290</f>
        <v>48.1</v>
      </c>
      <c r="H290" s="2" t="str">
        <f aca="false">IF(G290&gt;=65,"HIGH",IF(G290&gt;=50,"MEDIUM","LOW"))</f>
        <v>LOW</v>
      </c>
    </row>
    <row r="291" customFormat="false" ht="15" hidden="false" customHeight="false" outlineLevel="0" collapsed="false">
      <c r="A291" s="2" t="str">
        <f aca="false">Person_Data!A291</f>
        <v>G22415</v>
      </c>
      <c r="B291" s="2" t="str">
        <f aca="false">Person_Data!C291</f>
        <v>Warrant Officer</v>
      </c>
      <c r="C291" s="5" t="n">
        <f aca="false">Person_Data!D291</f>
        <v>3.91</v>
      </c>
      <c r="D291" s="2" t="n">
        <f aca="false">INDEX(Rank_Rules!$B$2:$B$9,MATCH(B291,Rank_Rules!$A$2:$A$9,0))</f>
        <v>3</v>
      </c>
      <c r="E291" s="2" t="n">
        <f aca="false">INDEX(Rank_Rules!$C$2:$C$9,MATCH(B291,Rank_Rules!$A$2:$A$9,0))</f>
        <v>5</v>
      </c>
      <c r="F291" s="2" t="str">
        <f aca="false">IF(AND(C291&gt;=D291,C291&lt;=E291),"OK","MISMATCH")</f>
        <v>OK</v>
      </c>
      <c r="G291" s="6" t="n">
        <f aca="false">Person_Data!H291</f>
        <v>46.1</v>
      </c>
      <c r="H291" s="2" t="str">
        <f aca="false">IF(G291&gt;=65,"HIGH",IF(G291&gt;=50,"MEDIUM","LOW"))</f>
        <v>LOW</v>
      </c>
    </row>
    <row r="292" customFormat="false" ht="15" hidden="false" customHeight="false" outlineLevel="0" collapsed="false">
      <c r="A292" s="2" t="str">
        <f aca="false">Person_Data!A292</f>
        <v>G22037</v>
      </c>
      <c r="B292" s="2" t="str">
        <f aca="false">Person_Data!C292</f>
        <v>Warrant Officer</v>
      </c>
      <c r="C292" s="5" t="n">
        <f aca="false">Person_Data!D292</f>
        <v>4.24</v>
      </c>
      <c r="D292" s="2" t="n">
        <f aca="false">INDEX(Rank_Rules!$B$2:$B$9,MATCH(B292,Rank_Rules!$A$2:$A$9,0))</f>
        <v>3</v>
      </c>
      <c r="E292" s="2" t="n">
        <f aca="false">INDEX(Rank_Rules!$C$2:$C$9,MATCH(B292,Rank_Rules!$A$2:$A$9,0))</f>
        <v>5</v>
      </c>
      <c r="F292" s="2" t="str">
        <f aca="false">IF(AND(C292&gt;=D292,C292&lt;=E292),"OK","MISMATCH")</f>
        <v>OK</v>
      </c>
      <c r="G292" s="6" t="n">
        <f aca="false">Person_Data!H292</f>
        <v>57.4</v>
      </c>
      <c r="H292" s="2" t="str">
        <f aca="false">IF(G292&gt;=65,"HIGH",IF(G292&gt;=50,"MEDIUM","LOW"))</f>
        <v>MEDIUM</v>
      </c>
    </row>
    <row r="293" customFormat="false" ht="15" hidden="false" customHeight="false" outlineLevel="0" collapsed="false">
      <c r="A293" s="2" t="str">
        <f aca="false">Person_Data!A293</f>
        <v>G22579</v>
      </c>
      <c r="B293" s="2" t="str">
        <f aca="false">Person_Data!C293</f>
        <v>Warrant Officer</v>
      </c>
      <c r="C293" s="5" t="n">
        <f aca="false">Person_Data!D293</f>
        <v>4.35</v>
      </c>
      <c r="D293" s="2" t="n">
        <f aca="false">INDEX(Rank_Rules!$B$2:$B$9,MATCH(B293,Rank_Rules!$A$2:$A$9,0))</f>
        <v>3</v>
      </c>
      <c r="E293" s="2" t="n">
        <f aca="false">INDEX(Rank_Rules!$C$2:$C$9,MATCH(B293,Rank_Rules!$A$2:$A$9,0))</f>
        <v>5</v>
      </c>
      <c r="F293" s="2" t="str">
        <f aca="false">IF(AND(C293&gt;=D293,C293&lt;=E293),"OK","MISMATCH")</f>
        <v>OK</v>
      </c>
      <c r="G293" s="6" t="n">
        <f aca="false">Person_Data!H293</f>
        <v>48.1</v>
      </c>
      <c r="H293" s="2" t="str">
        <f aca="false">IF(G293&gt;=65,"HIGH",IF(G293&gt;=50,"MEDIUM","LOW"))</f>
        <v>LOW</v>
      </c>
    </row>
    <row r="294" customFormat="false" ht="15" hidden="false" customHeight="false" outlineLevel="0" collapsed="false">
      <c r="A294" s="2" t="str">
        <f aca="false">Person_Data!A294</f>
        <v>G22977</v>
      </c>
      <c r="B294" s="2" t="str">
        <f aca="false">Person_Data!C294</f>
        <v>Warrant Officer</v>
      </c>
      <c r="C294" s="5" t="n">
        <f aca="false">Person_Data!D294</f>
        <v>4.18</v>
      </c>
      <c r="D294" s="2" t="n">
        <f aca="false">INDEX(Rank_Rules!$B$2:$B$9,MATCH(B294,Rank_Rules!$A$2:$A$9,0))</f>
        <v>3</v>
      </c>
      <c r="E294" s="2" t="n">
        <f aca="false">INDEX(Rank_Rules!$C$2:$C$9,MATCH(B294,Rank_Rules!$A$2:$A$9,0))</f>
        <v>5</v>
      </c>
      <c r="F294" s="2" t="str">
        <f aca="false">IF(AND(C294&gt;=D294,C294&lt;=E294),"OK","MISMATCH")</f>
        <v>OK</v>
      </c>
      <c r="G294" s="6" t="n">
        <f aca="false">Person_Data!H294</f>
        <v>48.1</v>
      </c>
      <c r="H294" s="2" t="str">
        <f aca="false">IF(G294&gt;=65,"HIGH",IF(G294&gt;=50,"MEDIUM","LOW"))</f>
        <v>LOW</v>
      </c>
    </row>
    <row r="295" customFormat="false" ht="15" hidden="false" customHeight="false" outlineLevel="0" collapsed="false">
      <c r="A295" s="2" t="str">
        <f aca="false">Person_Data!A295</f>
        <v>G24065</v>
      </c>
      <c r="B295" s="2" t="str">
        <f aca="false">Person_Data!C295</f>
        <v>Junior Warrant Officer</v>
      </c>
      <c r="C295" s="5" t="n">
        <f aca="false">Person_Data!D295</f>
        <v>2.43</v>
      </c>
      <c r="D295" s="2" t="n">
        <f aca="false">INDEX(Rank_Rules!$B$2:$B$9,MATCH(B295,Rank_Rules!$A$2:$A$9,0))</f>
        <v>1</v>
      </c>
      <c r="E295" s="2" t="n">
        <f aca="false">INDEX(Rank_Rules!$C$2:$C$9,MATCH(B295,Rank_Rules!$A$2:$A$9,0))</f>
        <v>3</v>
      </c>
      <c r="F295" s="2" t="str">
        <f aca="false">IF(AND(C295&gt;=D295,C295&lt;=E295),"OK","MISMATCH")</f>
        <v>OK</v>
      </c>
      <c r="G295" s="6" t="n">
        <f aca="false">Person_Data!H295</f>
        <v>48.1</v>
      </c>
      <c r="H295" s="2" t="str">
        <f aca="false">IF(G295&gt;=65,"HIGH",IF(G295&gt;=50,"MEDIUM","LOW"))</f>
        <v>LOW</v>
      </c>
    </row>
    <row r="296" customFormat="false" ht="15" hidden="false" customHeight="false" outlineLevel="0" collapsed="false">
      <c r="A296" s="2" t="str">
        <f aca="false">Person_Data!A296</f>
        <v>G07673</v>
      </c>
      <c r="B296" s="2" t="str">
        <f aca="false">Person_Data!C296</f>
        <v>Senior Warrant Officer</v>
      </c>
      <c r="C296" s="5" t="n">
        <f aca="false">Person_Data!D296</f>
        <v>18.57</v>
      </c>
      <c r="D296" s="2" t="n">
        <f aca="false">INDEX(Rank_Rules!$B$2:$B$9,MATCH(B296,Rank_Rules!$A$2:$A$9,0))</f>
        <v>5</v>
      </c>
      <c r="E296" s="2" t="n">
        <f aca="false">INDEX(Rank_Rules!$C$2:$C$9,MATCH(B296,Rank_Rules!$A$2:$A$9,0))</f>
        <v>20</v>
      </c>
      <c r="F296" s="2" t="str">
        <f aca="false">IF(AND(C296&gt;=D296,C296&lt;=E296),"OK","MISMATCH")</f>
        <v>OK</v>
      </c>
      <c r="G296" s="6" t="n">
        <f aca="false">Person_Data!H296</f>
        <v>46.6</v>
      </c>
      <c r="H296" s="2" t="str">
        <f aca="false">IF(G296&gt;=65,"HIGH",IF(G296&gt;=50,"MEDIUM","LOW"))</f>
        <v>LOW</v>
      </c>
    </row>
    <row r="297" customFormat="false" ht="15" hidden="false" customHeight="false" outlineLevel="0" collapsed="false">
      <c r="A297" s="2" t="str">
        <f aca="false">Person_Data!A297</f>
        <v>G22535</v>
      </c>
      <c r="B297" s="2" t="str">
        <f aca="false">Person_Data!C297</f>
        <v>Warrant Officer</v>
      </c>
      <c r="C297" s="5" t="n">
        <f aca="false">Person_Data!D297</f>
        <v>3.71</v>
      </c>
      <c r="D297" s="2" t="n">
        <f aca="false">INDEX(Rank_Rules!$B$2:$B$9,MATCH(B297,Rank_Rules!$A$2:$A$9,0))</f>
        <v>3</v>
      </c>
      <c r="E297" s="2" t="n">
        <f aca="false">INDEX(Rank_Rules!$C$2:$C$9,MATCH(B297,Rank_Rules!$A$2:$A$9,0))</f>
        <v>5</v>
      </c>
      <c r="F297" s="2" t="str">
        <f aca="false">IF(AND(C297&gt;=D297,C297&lt;=E297),"OK","MISMATCH")</f>
        <v>OK</v>
      </c>
      <c r="G297" s="6" t="n">
        <f aca="false">Person_Data!H297</f>
        <v>48.1</v>
      </c>
      <c r="H297" s="2" t="str">
        <f aca="false">IF(G297&gt;=65,"HIGH",IF(G297&gt;=50,"MEDIUM","LOW"))</f>
        <v>LOW</v>
      </c>
    </row>
    <row r="298" customFormat="false" ht="15" hidden="false" customHeight="false" outlineLevel="0" collapsed="false">
      <c r="A298" s="2" t="str">
        <f aca="false">Person_Data!A298</f>
        <v>G23918</v>
      </c>
      <c r="B298" s="2" t="str">
        <f aca="false">Person_Data!C298</f>
        <v>Warrant Officer</v>
      </c>
      <c r="C298" s="5" t="n">
        <f aca="false">Person_Data!D298</f>
        <v>3.37</v>
      </c>
      <c r="D298" s="2" t="n">
        <f aca="false">INDEX(Rank_Rules!$B$2:$B$9,MATCH(B298,Rank_Rules!$A$2:$A$9,0))</f>
        <v>3</v>
      </c>
      <c r="E298" s="2" t="n">
        <f aca="false">INDEX(Rank_Rules!$C$2:$C$9,MATCH(B298,Rank_Rules!$A$2:$A$9,0))</f>
        <v>5</v>
      </c>
      <c r="F298" s="2" t="str">
        <f aca="false">IF(AND(C298&gt;=D298,C298&lt;=E298),"OK","MISMATCH")</f>
        <v>OK</v>
      </c>
      <c r="G298" s="6" t="n">
        <f aca="false">Person_Data!H298</f>
        <v>57.4</v>
      </c>
      <c r="H298" s="2" t="str">
        <f aca="false">IF(G298&gt;=65,"HIGH",IF(G298&gt;=50,"MEDIUM","LOW"))</f>
        <v>MEDIUM</v>
      </c>
    </row>
    <row r="299" customFormat="false" ht="15" hidden="false" customHeight="false" outlineLevel="0" collapsed="false">
      <c r="A299" s="2" t="str">
        <f aca="false">Person_Data!A299</f>
        <v>G25132</v>
      </c>
      <c r="B299" s="2" t="str">
        <f aca="false">Person_Data!C299</f>
        <v>Junior Warrant Officer</v>
      </c>
      <c r="C299" s="5" t="n">
        <f aca="false">Person_Data!D299</f>
        <v>1.26</v>
      </c>
      <c r="D299" s="2" t="n">
        <f aca="false">INDEX(Rank_Rules!$B$2:$B$9,MATCH(B299,Rank_Rules!$A$2:$A$9,0))</f>
        <v>1</v>
      </c>
      <c r="E299" s="2" t="n">
        <f aca="false">INDEX(Rank_Rules!$C$2:$C$9,MATCH(B299,Rank_Rules!$A$2:$A$9,0))</f>
        <v>3</v>
      </c>
      <c r="F299" s="2" t="str">
        <f aca="false">IF(AND(C299&gt;=D299,C299&lt;=E299),"OK","MISMATCH")</f>
        <v>OK</v>
      </c>
      <c r="G299" s="6" t="n">
        <f aca="false">Person_Data!H299</f>
        <v>48.1</v>
      </c>
      <c r="H299" s="2" t="str">
        <f aca="false">IF(G299&gt;=65,"HIGH",IF(G299&gt;=50,"MEDIUM","LOW"))</f>
        <v>LOW</v>
      </c>
    </row>
    <row r="300" customFormat="false" ht="15" hidden="false" customHeight="false" outlineLevel="0" collapsed="false">
      <c r="A300" s="2" t="str">
        <f aca="false">Person_Data!A300</f>
        <v>G22485</v>
      </c>
      <c r="B300" s="2" t="str">
        <f aca="false">Person_Data!C300</f>
        <v>Warrant Officer</v>
      </c>
      <c r="C300" s="5" t="n">
        <f aca="false">Person_Data!D300</f>
        <v>4.3</v>
      </c>
      <c r="D300" s="2" t="n">
        <f aca="false">INDEX(Rank_Rules!$B$2:$B$9,MATCH(B300,Rank_Rules!$A$2:$A$9,0))</f>
        <v>3</v>
      </c>
      <c r="E300" s="2" t="n">
        <f aca="false">INDEX(Rank_Rules!$C$2:$C$9,MATCH(B300,Rank_Rules!$A$2:$A$9,0))</f>
        <v>5</v>
      </c>
      <c r="F300" s="2" t="str">
        <f aca="false">IF(AND(C300&gt;=D300,C300&lt;=E300),"OK","MISMATCH")</f>
        <v>OK</v>
      </c>
      <c r="G300" s="6" t="n">
        <f aca="false">Person_Data!H300</f>
        <v>48.1</v>
      </c>
      <c r="H300" s="2" t="str">
        <f aca="false">IF(G300&gt;=65,"HIGH",IF(G300&gt;=50,"MEDIUM","LOW"))</f>
        <v>LOW</v>
      </c>
    </row>
    <row r="301" customFormat="false" ht="15" hidden="false" customHeight="false" outlineLevel="0" collapsed="false">
      <c r="A301" s="2" t="str">
        <f aca="false">Person_Data!A301</f>
        <v>G22220</v>
      </c>
      <c r="B301" s="2" t="str">
        <f aca="false">Person_Data!C301</f>
        <v>Warrant Officer</v>
      </c>
      <c r="C301" s="5" t="n">
        <f aca="false">Person_Data!D301</f>
        <v>4.08</v>
      </c>
      <c r="D301" s="2" t="n">
        <f aca="false">INDEX(Rank_Rules!$B$2:$B$9,MATCH(B301,Rank_Rules!$A$2:$A$9,0))</f>
        <v>3</v>
      </c>
      <c r="E301" s="2" t="n">
        <f aca="false">INDEX(Rank_Rules!$C$2:$C$9,MATCH(B301,Rank_Rules!$A$2:$A$9,0))</f>
        <v>5</v>
      </c>
      <c r="F301" s="2" t="str">
        <f aca="false">IF(AND(C301&gt;=D301,C301&lt;=E301),"OK","MISMATCH")</f>
        <v>OK</v>
      </c>
      <c r="G301" s="6" t="n">
        <f aca="false">Person_Data!H301</f>
        <v>57.4</v>
      </c>
      <c r="H301" s="2" t="str">
        <f aca="false">IF(G301&gt;=65,"HIGH",IF(G301&gt;=50,"MEDIUM","LOW"))</f>
        <v>MEDIUM</v>
      </c>
    </row>
    <row r="302" customFormat="false" ht="15" hidden="false" customHeight="false" outlineLevel="0" collapsed="false">
      <c r="A302" s="2" t="str">
        <f aca="false">Person_Data!A302</f>
        <v>G22168</v>
      </c>
      <c r="B302" s="2" t="str">
        <f aca="false">Person_Data!C302</f>
        <v>Warrant Officer</v>
      </c>
      <c r="C302" s="5" t="n">
        <f aca="false">Person_Data!D302</f>
        <v>4.21</v>
      </c>
      <c r="D302" s="2" t="n">
        <f aca="false">INDEX(Rank_Rules!$B$2:$B$9,MATCH(B302,Rank_Rules!$A$2:$A$9,0))</f>
        <v>3</v>
      </c>
      <c r="E302" s="2" t="n">
        <f aca="false">INDEX(Rank_Rules!$C$2:$C$9,MATCH(B302,Rank_Rules!$A$2:$A$9,0))</f>
        <v>5</v>
      </c>
      <c r="F302" s="2" t="str">
        <f aca="false">IF(AND(C302&gt;=D302,C302&lt;=E302),"OK","MISMATCH")</f>
        <v>OK</v>
      </c>
      <c r="G302" s="6" t="n">
        <f aca="false">Person_Data!H302</f>
        <v>48.1</v>
      </c>
      <c r="H302" s="2" t="str">
        <f aca="false">IF(G302&gt;=65,"HIGH",IF(G302&gt;=50,"MEDIUM","LOW"))</f>
        <v>LOW</v>
      </c>
    </row>
    <row r="303" customFormat="false" ht="15" hidden="false" customHeight="false" outlineLevel="0" collapsed="false">
      <c r="A303" s="2" t="str">
        <f aca="false">Person_Data!A303</f>
        <v>G13401</v>
      </c>
      <c r="B303" s="2" t="str">
        <f aca="false">Person_Data!C303</f>
        <v>Senior Warrant Officer</v>
      </c>
      <c r="C303" s="5" t="n">
        <f aca="false">Person_Data!D303</f>
        <v>12.77</v>
      </c>
      <c r="D303" s="2" t="n">
        <f aca="false">INDEX(Rank_Rules!$B$2:$B$9,MATCH(B303,Rank_Rules!$A$2:$A$9,0))</f>
        <v>5</v>
      </c>
      <c r="E303" s="2" t="n">
        <f aca="false">INDEX(Rank_Rules!$C$2:$C$9,MATCH(B303,Rank_Rules!$A$2:$A$9,0))</f>
        <v>20</v>
      </c>
      <c r="F303" s="2" t="str">
        <f aca="false">IF(AND(C303&gt;=D303,C303&lt;=E303),"OK","MISMATCH")</f>
        <v>OK</v>
      </c>
      <c r="G303" s="6" t="n">
        <f aca="false">Person_Data!H303</f>
        <v>48.1</v>
      </c>
      <c r="H303" s="2" t="str">
        <f aca="false">IF(G303&gt;=65,"HIGH",IF(G303&gt;=50,"MEDIUM","LOW"))</f>
        <v>LOW</v>
      </c>
    </row>
    <row r="304" customFormat="false" ht="15" hidden="false" customHeight="false" outlineLevel="0" collapsed="false">
      <c r="A304" s="2" t="str">
        <f aca="false">Person_Data!A304</f>
        <v>G25062</v>
      </c>
      <c r="B304" s="2" t="str">
        <f aca="false">Person_Data!C304</f>
        <v>Junior Warrant Officer</v>
      </c>
      <c r="C304" s="5" t="n">
        <f aca="false">Person_Data!D304</f>
        <v>1.47</v>
      </c>
      <c r="D304" s="2" t="n">
        <f aca="false">INDEX(Rank_Rules!$B$2:$B$9,MATCH(B304,Rank_Rules!$A$2:$A$9,0))</f>
        <v>1</v>
      </c>
      <c r="E304" s="2" t="n">
        <f aca="false">INDEX(Rank_Rules!$C$2:$C$9,MATCH(B304,Rank_Rules!$A$2:$A$9,0))</f>
        <v>3</v>
      </c>
      <c r="F304" s="2" t="str">
        <f aca="false">IF(AND(C304&gt;=D304,C304&lt;=E304),"OK","MISMATCH")</f>
        <v>OK</v>
      </c>
      <c r="G304" s="6" t="n">
        <f aca="false">Person_Data!H304</f>
        <v>48.1</v>
      </c>
      <c r="H304" s="2" t="str">
        <f aca="false">IF(G304&gt;=65,"HIGH",IF(G304&gt;=50,"MEDIUM","LOW"))</f>
        <v>LOW</v>
      </c>
    </row>
    <row r="305" customFormat="false" ht="15" hidden="false" customHeight="false" outlineLevel="0" collapsed="false">
      <c r="A305" s="2" t="str">
        <f aca="false">Person_Data!A305</f>
        <v>G23312</v>
      </c>
      <c r="B305" s="2" t="str">
        <f aca="false">Person_Data!C305</f>
        <v>Warrant Officer</v>
      </c>
      <c r="C305" s="5" t="n">
        <f aca="false">Person_Data!D305</f>
        <v>3.11</v>
      </c>
      <c r="D305" s="2" t="n">
        <f aca="false">INDEX(Rank_Rules!$B$2:$B$9,MATCH(B305,Rank_Rules!$A$2:$A$9,0))</f>
        <v>3</v>
      </c>
      <c r="E305" s="2" t="n">
        <f aca="false">INDEX(Rank_Rules!$C$2:$C$9,MATCH(B305,Rank_Rules!$A$2:$A$9,0))</f>
        <v>5</v>
      </c>
      <c r="F305" s="2" t="str">
        <f aca="false">IF(AND(C305&gt;=D305,C305&lt;=E305),"OK","MISMATCH")</f>
        <v>OK</v>
      </c>
      <c r="G305" s="6" t="n">
        <f aca="false">Person_Data!H305</f>
        <v>46.1</v>
      </c>
      <c r="H305" s="2" t="str">
        <f aca="false">IF(G305&gt;=65,"HIGH",IF(G305&gt;=50,"MEDIUM","LOW"))</f>
        <v>LOW</v>
      </c>
    </row>
    <row r="306" customFormat="false" ht="15" hidden="false" customHeight="false" outlineLevel="0" collapsed="false">
      <c r="A306" s="2" t="str">
        <f aca="false">Person_Data!A306</f>
        <v>G11789</v>
      </c>
      <c r="B306" s="2" t="str">
        <f aca="false">Person_Data!C306</f>
        <v>Senior Warrant Officer</v>
      </c>
      <c r="C306" s="5" t="n">
        <f aca="false">Person_Data!D306</f>
        <v>14.61</v>
      </c>
      <c r="D306" s="2" t="n">
        <f aca="false">INDEX(Rank_Rules!$B$2:$B$9,MATCH(B306,Rank_Rules!$A$2:$A$9,0))</f>
        <v>5</v>
      </c>
      <c r="E306" s="2" t="n">
        <f aca="false">INDEX(Rank_Rules!$C$2:$C$9,MATCH(B306,Rank_Rules!$A$2:$A$9,0))</f>
        <v>20</v>
      </c>
      <c r="F306" s="2" t="str">
        <f aca="false">IF(AND(C306&gt;=D306,C306&lt;=E306),"OK","MISMATCH")</f>
        <v>OK</v>
      </c>
      <c r="G306" s="6" t="n">
        <f aca="false">Person_Data!H306</f>
        <v>48.1</v>
      </c>
      <c r="H306" s="2" t="str">
        <f aca="false">IF(G306&gt;=65,"HIGH",IF(G306&gt;=50,"MEDIUM","LOW"))</f>
        <v>LOW</v>
      </c>
    </row>
    <row r="307" customFormat="false" ht="15" hidden="false" customHeight="false" outlineLevel="0" collapsed="false">
      <c r="A307" s="2" t="str">
        <f aca="false">Person_Data!A307</f>
        <v>G25707</v>
      </c>
      <c r="B307" s="2" t="str">
        <f aca="false">Person_Data!C307</f>
        <v>Junior Warrant Officer</v>
      </c>
      <c r="C307" s="5" t="n">
        <f aca="false">Person_Data!D307</f>
        <v>1.38</v>
      </c>
      <c r="D307" s="2" t="n">
        <f aca="false">INDEX(Rank_Rules!$B$2:$B$9,MATCH(B307,Rank_Rules!$A$2:$A$9,0))</f>
        <v>1</v>
      </c>
      <c r="E307" s="2" t="n">
        <f aca="false">INDEX(Rank_Rules!$C$2:$C$9,MATCH(B307,Rank_Rules!$A$2:$A$9,0))</f>
        <v>3</v>
      </c>
      <c r="F307" s="2" t="str">
        <f aca="false">IF(AND(C307&gt;=D307,C307&lt;=E307),"OK","MISMATCH")</f>
        <v>OK</v>
      </c>
      <c r="G307" s="6" t="n">
        <f aca="false">Person_Data!H307</f>
        <v>48.1</v>
      </c>
      <c r="H307" s="2" t="str">
        <f aca="false">IF(G307&gt;=65,"HIGH",IF(G307&gt;=50,"MEDIUM","LOW"))</f>
        <v>LOW</v>
      </c>
    </row>
    <row r="308" customFormat="false" ht="15" hidden="false" customHeight="false" outlineLevel="0" collapsed="false">
      <c r="A308" s="2" t="str">
        <f aca="false">Person_Data!A308</f>
        <v>G22436</v>
      </c>
      <c r="B308" s="2" t="str">
        <f aca="false">Person_Data!C308</f>
        <v>Warrant Officer</v>
      </c>
      <c r="C308" s="5" t="n">
        <f aca="false">Person_Data!D308</f>
        <v>3.93</v>
      </c>
      <c r="D308" s="2" t="n">
        <f aca="false">INDEX(Rank_Rules!$B$2:$B$9,MATCH(B308,Rank_Rules!$A$2:$A$9,0))</f>
        <v>3</v>
      </c>
      <c r="E308" s="2" t="n">
        <f aca="false">INDEX(Rank_Rules!$C$2:$C$9,MATCH(B308,Rank_Rules!$A$2:$A$9,0))</f>
        <v>5</v>
      </c>
      <c r="F308" s="2" t="str">
        <f aca="false">IF(AND(C308&gt;=D308,C308&lt;=E308),"OK","MISMATCH")</f>
        <v>OK</v>
      </c>
      <c r="G308" s="6" t="n">
        <f aca="false">Person_Data!H308</f>
        <v>60.1</v>
      </c>
      <c r="H308" s="2" t="str">
        <f aca="false">IF(G308&gt;=65,"HIGH",IF(G308&gt;=50,"MEDIUM","LOW"))</f>
        <v>MEDIUM</v>
      </c>
    </row>
    <row r="309" customFormat="false" ht="15" hidden="false" customHeight="false" outlineLevel="0" collapsed="false">
      <c r="A309" s="2" t="str">
        <f aca="false">Person_Data!A309</f>
        <v>G13194</v>
      </c>
      <c r="B309" s="2" t="str">
        <f aca="false">Person_Data!C309</f>
        <v>Senior Warrant Officer</v>
      </c>
      <c r="C309" s="5" t="n">
        <f aca="false">Person_Data!D309</f>
        <v>13.49</v>
      </c>
      <c r="D309" s="2" t="n">
        <f aca="false">INDEX(Rank_Rules!$B$2:$B$9,MATCH(B309,Rank_Rules!$A$2:$A$9,0))</f>
        <v>5</v>
      </c>
      <c r="E309" s="2" t="n">
        <f aca="false">INDEX(Rank_Rules!$C$2:$C$9,MATCH(B309,Rank_Rules!$A$2:$A$9,0))</f>
        <v>20</v>
      </c>
      <c r="F309" s="2" t="str">
        <f aca="false">IF(AND(C309&gt;=D309,C309&lt;=E309),"OK","MISMATCH")</f>
        <v>OK</v>
      </c>
      <c r="G309" s="6" t="n">
        <f aca="false">Person_Data!H309</f>
        <v>57.4</v>
      </c>
      <c r="H309" s="2" t="str">
        <f aca="false">IF(G309&gt;=65,"HIGH",IF(G309&gt;=50,"MEDIUM","LOW"))</f>
        <v>MEDIUM</v>
      </c>
    </row>
    <row r="310" customFormat="false" ht="15" hidden="false" customHeight="false" outlineLevel="0" collapsed="false">
      <c r="A310" s="2" t="str">
        <f aca="false">Person_Data!A310</f>
        <v>G24151</v>
      </c>
      <c r="B310" s="2" t="str">
        <f aca="false">Person_Data!C310</f>
        <v>Junior Warrant Officer</v>
      </c>
      <c r="C310" s="5" t="n">
        <f aca="false">Person_Data!D310</f>
        <v>1.66</v>
      </c>
      <c r="D310" s="2" t="n">
        <f aca="false">INDEX(Rank_Rules!$B$2:$B$9,MATCH(B310,Rank_Rules!$A$2:$A$9,0))</f>
        <v>1</v>
      </c>
      <c r="E310" s="2" t="n">
        <f aca="false">INDEX(Rank_Rules!$C$2:$C$9,MATCH(B310,Rank_Rules!$A$2:$A$9,0))</f>
        <v>3</v>
      </c>
      <c r="F310" s="2" t="str">
        <f aca="false">IF(AND(C310&gt;=D310,C310&lt;=E310),"OK","MISMATCH")</f>
        <v>OK</v>
      </c>
      <c r="G310" s="6" t="n">
        <f aca="false">Person_Data!H310</f>
        <v>48.1</v>
      </c>
      <c r="H310" s="2" t="str">
        <f aca="false">IF(G310&gt;=65,"HIGH",IF(G310&gt;=50,"MEDIUM","LOW"))</f>
        <v>LOW</v>
      </c>
    </row>
    <row r="311" customFormat="false" ht="15" hidden="false" customHeight="false" outlineLevel="0" collapsed="false">
      <c r="A311" s="2" t="str">
        <f aca="false">Person_Data!A311</f>
        <v>G07405</v>
      </c>
      <c r="B311" s="2" t="str">
        <f aca="false">Person_Data!C311</f>
        <v>Senior Warrant Officer</v>
      </c>
      <c r="C311" s="5" t="n">
        <f aca="false">Person_Data!D311</f>
        <v>18.66</v>
      </c>
      <c r="D311" s="2" t="n">
        <f aca="false">INDEX(Rank_Rules!$B$2:$B$9,MATCH(B311,Rank_Rules!$A$2:$A$9,0))</f>
        <v>5</v>
      </c>
      <c r="E311" s="2" t="n">
        <f aca="false">INDEX(Rank_Rules!$C$2:$C$9,MATCH(B311,Rank_Rules!$A$2:$A$9,0))</f>
        <v>20</v>
      </c>
      <c r="F311" s="2" t="str">
        <f aca="false">IF(AND(C311&gt;=D311,C311&lt;=E311),"OK","MISMATCH")</f>
        <v>OK</v>
      </c>
      <c r="G311" s="6" t="n">
        <f aca="false">Person_Data!H311</f>
        <v>57.4</v>
      </c>
      <c r="H311" s="2" t="str">
        <f aca="false">IF(G311&gt;=65,"HIGH",IF(G311&gt;=50,"MEDIUM","LOW"))</f>
        <v>MEDIUM</v>
      </c>
    </row>
    <row r="312" customFormat="false" ht="15" hidden="false" customHeight="false" outlineLevel="0" collapsed="false">
      <c r="A312" s="2" t="str">
        <f aca="false">Person_Data!A312</f>
        <v>G11903</v>
      </c>
      <c r="B312" s="2" t="str">
        <f aca="false">Person_Data!C312</f>
        <v>Senior Warrant Officer</v>
      </c>
      <c r="C312" s="5" t="n">
        <f aca="false">Person_Data!D312</f>
        <v>14.58</v>
      </c>
      <c r="D312" s="2" t="n">
        <f aca="false">INDEX(Rank_Rules!$B$2:$B$9,MATCH(B312,Rank_Rules!$A$2:$A$9,0))</f>
        <v>5</v>
      </c>
      <c r="E312" s="2" t="n">
        <f aca="false">INDEX(Rank_Rules!$C$2:$C$9,MATCH(B312,Rank_Rules!$A$2:$A$9,0))</f>
        <v>20</v>
      </c>
      <c r="F312" s="2" t="str">
        <f aca="false">IF(AND(C312&gt;=D312,C312&lt;=E312),"OK","MISMATCH")</f>
        <v>OK</v>
      </c>
      <c r="G312" s="6" t="n">
        <f aca="false">Person_Data!H312</f>
        <v>57.4</v>
      </c>
      <c r="H312" s="2" t="str">
        <f aca="false">IF(G312&gt;=65,"HIGH",IF(G312&gt;=50,"MEDIUM","LOW"))</f>
        <v>MEDIUM</v>
      </c>
    </row>
    <row r="313" customFormat="false" ht="15" hidden="false" customHeight="false" outlineLevel="0" collapsed="false">
      <c r="A313" s="2" t="str">
        <f aca="false">Person_Data!A313</f>
        <v>G23626</v>
      </c>
      <c r="B313" s="2" t="str">
        <f aca="false">Person_Data!C313</f>
        <v>Warrant Officer</v>
      </c>
      <c r="C313" s="5" t="n">
        <f aca="false">Person_Data!D313</f>
        <v>3.43</v>
      </c>
      <c r="D313" s="2" t="n">
        <f aca="false">INDEX(Rank_Rules!$B$2:$B$9,MATCH(B313,Rank_Rules!$A$2:$A$9,0))</f>
        <v>3</v>
      </c>
      <c r="E313" s="2" t="n">
        <f aca="false">INDEX(Rank_Rules!$C$2:$C$9,MATCH(B313,Rank_Rules!$A$2:$A$9,0))</f>
        <v>5</v>
      </c>
      <c r="F313" s="2" t="str">
        <f aca="false">IF(AND(C313&gt;=D313,C313&lt;=E313),"OK","MISMATCH")</f>
        <v>OK</v>
      </c>
      <c r="G313" s="6" t="n">
        <f aca="false">Person_Data!H313</f>
        <v>48.1</v>
      </c>
      <c r="H313" s="2" t="str">
        <f aca="false">IF(G313&gt;=65,"HIGH",IF(G313&gt;=50,"MEDIUM","LOW"))</f>
        <v>LOW</v>
      </c>
    </row>
    <row r="314" customFormat="false" ht="15" hidden="false" customHeight="false" outlineLevel="0" collapsed="false">
      <c r="A314" s="2" t="str">
        <f aca="false">Person_Data!A314</f>
        <v>G09553</v>
      </c>
      <c r="B314" s="2" t="str">
        <f aca="false">Person_Data!C314</f>
        <v>Senior Warrant Officer</v>
      </c>
      <c r="C314" s="5" t="n">
        <f aca="false">Person_Data!D314</f>
        <v>17.22</v>
      </c>
      <c r="D314" s="2" t="n">
        <f aca="false">INDEX(Rank_Rules!$B$2:$B$9,MATCH(B314,Rank_Rules!$A$2:$A$9,0))</f>
        <v>5</v>
      </c>
      <c r="E314" s="2" t="n">
        <f aca="false">INDEX(Rank_Rules!$C$2:$C$9,MATCH(B314,Rank_Rules!$A$2:$A$9,0))</f>
        <v>20</v>
      </c>
      <c r="F314" s="2" t="str">
        <f aca="false">IF(AND(C314&gt;=D314,C314&lt;=E314),"OK","MISMATCH")</f>
        <v>OK</v>
      </c>
      <c r="G314" s="6" t="n">
        <f aca="false">Person_Data!H314</f>
        <v>48.1</v>
      </c>
      <c r="H314" s="2" t="str">
        <f aca="false">IF(G314&gt;=65,"HIGH",IF(G314&gt;=50,"MEDIUM","LOW"))</f>
        <v>LOW</v>
      </c>
    </row>
    <row r="315" customFormat="false" ht="15" hidden="false" customHeight="false" outlineLevel="0" collapsed="false">
      <c r="A315" s="2" t="str">
        <f aca="false">Person_Data!A315</f>
        <v>G22502</v>
      </c>
      <c r="B315" s="2" t="str">
        <f aca="false">Person_Data!C315</f>
        <v>Warrant Officer</v>
      </c>
      <c r="C315" s="5" t="n">
        <f aca="false">Person_Data!D315</f>
        <v>3.8</v>
      </c>
      <c r="D315" s="2" t="n">
        <f aca="false">INDEX(Rank_Rules!$B$2:$B$9,MATCH(B315,Rank_Rules!$A$2:$A$9,0))</f>
        <v>3</v>
      </c>
      <c r="E315" s="2" t="n">
        <f aca="false">INDEX(Rank_Rules!$C$2:$C$9,MATCH(B315,Rank_Rules!$A$2:$A$9,0))</f>
        <v>5</v>
      </c>
      <c r="F315" s="2" t="str">
        <f aca="false">IF(AND(C315&gt;=D315,C315&lt;=E315),"OK","MISMATCH")</f>
        <v>OK</v>
      </c>
      <c r="G315" s="6" t="n">
        <f aca="false">Person_Data!H315</f>
        <v>48.1</v>
      </c>
      <c r="H315" s="2" t="str">
        <f aca="false">IF(G315&gt;=65,"HIGH",IF(G315&gt;=50,"MEDIUM","LOW"))</f>
        <v>LOW</v>
      </c>
    </row>
    <row r="316" customFormat="false" ht="15" hidden="false" customHeight="false" outlineLevel="0" collapsed="false">
      <c r="A316" s="2" t="str">
        <f aca="false">Person_Data!A316</f>
        <v>G25177</v>
      </c>
      <c r="B316" s="2" t="str">
        <f aca="false">Person_Data!C316</f>
        <v>Junior Warrant Officer</v>
      </c>
      <c r="C316" s="5" t="n">
        <f aca="false">Person_Data!D316</f>
        <v>1.02</v>
      </c>
      <c r="D316" s="2" t="n">
        <f aca="false">INDEX(Rank_Rules!$B$2:$B$9,MATCH(B316,Rank_Rules!$A$2:$A$9,0))</f>
        <v>1</v>
      </c>
      <c r="E316" s="2" t="n">
        <f aca="false">INDEX(Rank_Rules!$C$2:$C$9,MATCH(B316,Rank_Rules!$A$2:$A$9,0))</f>
        <v>3</v>
      </c>
      <c r="F316" s="2" t="str">
        <f aca="false">IF(AND(C316&gt;=D316,C316&lt;=E316),"OK","MISMATCH")</f>
        <v>OK</v>
      </c>
      <c r="G316" s="6" t="n">
        <f aca="false">Person_Data!H316</f>
        <v>44.9</v>
      </c>
      <c r="H316" s="2" t="str">
        <f aca="false">IF(G316&gt;=65,"HIGH",IF(G316&gt;=50,"MEDIUM","LOW"))</f>
        <v>LOW</v>
      </c>
    </row>
    <row r="317" customFormat="false" ht="15" hidden="false" customHeight="false" outlineLevel="0" collapsed="false">
      <c r="A317" s="2" t="str">
        <f aca="false">Person_Data!A317</f>
        <v>AO97317</v>
      </c>
      <c r="B317" s="2" t="str">
        <f aca="false">Person_Data!C317</f>
        <v>Lieutenant Colonel</v>
      </c>
      <c r="C317" s="5" t="n">
        <f aca="false">Person_Data!D317</f>
        <v>28.91</v>
      </c>
      <c r="D317" s="2" t="n">
        <f aca="false">INDEX(Rank_Rules!$B$2:$B$9,MATCH(B317,Rank_Rules!$A$2:$A$9,0))</f>
        <v>15</v>
      </c>
      <c r="E317" s="2" t="n">
        <f aca="false">INDEX(Rank_Rules!$C$2:$C$9,MATCH(B317,Rank_Rules!$A$2:$A$9,0))</f>
        <v>30</v>
      </c>
      <c r="F317" s="2" t="str">
        <f aca="false">IF(AND(C317&gt;=D317,C317&lt;=E317),"OK","MISMATCH")</f>
        <v>OK</v>
      </c>
      <c r="G317" s="6" t="n">
        <f aca="false">Person_Data!H317</f>
        <v>47.7</v>
      </c>
      <c r="H317" s="2" t="str">
        <f aca="false">IF(G317&gt;=65,"HIGH",IF(G317&gt;=50,"MEDIUM","LOW"))</f>
        <v>LOW</v>
      </c>
    </row>
    <row r="318" customFormat="false" ht="15" hidden="false" customHeight="false" outlineLevel="0" collapsed="false">
      <c r="A318" s="2" t="str">
        <f aca="false">Person_Data!A318</f>
        <v>AO14416</v>
      </c>
      <c r="B318" s="2" t="str">
        <f aca="false">Person_Data!C318</f>
        <v>Major</v>
      </c>
      <c r="C318" s="5" t="n">
        <f aca="false">Person_Data!D318</f>
        <v>12.41</v>
      </c>
      <c r="D318" s="2" t="n">
        <f aca="false">INDEX(Rank_Rules!$B$2:$B$9,MATCH(B318,Rank_Rules!$A$2:$A$9,0))</f>
        <v>12</v>
      </c>
      <c r="E318" s="2" t="n">
        <f aca="false">INDEX(Rank_Rules!$C$2:$C$9,MATCH(B318,Rank_Rules!$A$2:$A$9,0))</f>
        <v>15</v>
      </c>
      <c r="F318" s="2" t="str">
        <f aca="false">IF(AND(C318&gt;=D318,C318&lt;=E318),"OK","MISMATCH")</f>
        <v>OK</v>
      </c>
      <c r="G318" s="6" t="n">
        <f aca="false">Person_Data!H318</f>
        <v>42</v>
      </c>
      <c r="H318" s="2" t="str">
        <f aca="false">IF(G318&gt;=65,"HIGH",IF(G318&gt;=50,"MEDIUM","LOW"))</f>
        <v>LOW</v>
      </c>
    </row>
    <row r="319" customFormat="false" ht="15" hidden="false" customHeight="false" outlineLevel="0" collapsed="false">
      <c r="A319" s="2" t="str">
        <f aca="false">Person_Data!A319</f>
        <v>AO14212</v>
      </c>
      <c r="B319" s="2" t="str">
        <f aca="false">Person_Data!C319</f>
        <v>Major</v>
      </c>
      <c r="C319" s="5" t="n">
        <f aca="false">Person_Data!D319</f>
        <v>12.03</v>
      </c>
      <c r="D319" s="2" t="n">
        <f aca="false">INDEX(Rank_Rules!$B$2:$B$9,MATCH(B319,Rank_Rules!$A$2:$A$9,0))</f>
        <v>12</v>
      </c>
      <c r="E319" s="2" t="n">
        <f aca="false">INDEX(Rank_Rules!$C$2:$C$9,MATCH(B319,Rank_Rules!$A$2:$A$9,0))</f>
        <v>15</v>
      </c>
      <c r="F319" s="2" t="str">
        <f aca="false">IF(AND(C319&gt;=D319,C319&lt;=E319),"OK","MISMATCH")</f>
        <v>OK</v>
      </c>
      <c r="G319" s="6" t="n">
        <f aca="false">Person_Data!H319</f>
        <v>66.6</v>
      </c>
      <c r="H319" s="2" t="str">
        <f aca="false">IF(G319&gt;=65,"HIGH",IF(G319&gt;=50,"MEDIUM","LOW"))</f>
        <v>HIGH</v>
      </c>
    </row>
    <row r="320" customFormat="false" ht="15" hidden="false" customHeight="false" outlineLevel="0" collapsed="false">
      <c r="A320" s="2" t="str">
        <f aca="false">Person_Data!A320</f>
        <v>G23124</v>
      </c>
      <c r="B320" s="2" t="str">
        <f aca="false">Person_Data!C320</f>
        <v>Warrant Officer</v>
      </c>
      <c r="C320" s="5" t="n">
        <f aca="false">Person_Data!D320</f>
        <v>3.13</v>
      </c>
      <c r="D320" s="2" t="n">
        <f aca="false">INDEX(Rank_Rules!$B$2:$B$9,MATCH(B320,Rank_Rules!$A$2:$A$9,0))</f>
        <v>3</v>
      </c>
      <c r="E320" s="2" t="n">
        <f aca="false">INDEX(Rank_Rules!$C$2:$C$9,MATCH(B320,Rank_Rules!$A$2:$A$9,0))</f>
        <v>5</v>
      </c>
      <c r="F320" s="2" t="str">
        <f aca="false">IF(AND(C320&gt;=D320,C320&lt;=E320),"OK","MISMATCH")</f>
        <v>OK</v>
      </c>
      <c r="G320" s="6" t="n">
        <f aca="false">Person_Data!H320</f>
        <v>48.1</v>
      </c>
      <c r="H320" s="2" t="str">
        <f aca="false">IF(G320&gt;=65,"HIGH",IF(G320&gt;=50,"MEDIUM","LOW"))</f>
        <v>LOW</v>
      </c>
    </row>
    <row r="321" customFormat="false" ht="15" hidden="false" customHeight="false" outlineLevel="0" collapsed="false">
      <c r="A321" s="2" t="str">
        <f aca="false">Person_Data!A321</f>
        <v>AO18162</v>
      </c>
      <c r="B321" s="2" t="str">
        <f aca="false">Person_Data!C321</f>
        <v>Captain</v>
      </c>
      <c r="C321" s="5" t="n">
        <f aca="false">Person_Data!D321</f>
        <v>7.75</v>
      </c>
      <c r="D321" s="2" t="n">
        <f aca="false">INDEX(Rank_Rules!$B$2:$B$9,MATCH(B321,Rank_Rules!$A$2:$A$9,0))</f>
        <v>7</v>
      </c>
      <c r="E321" s="2" t="n">
        <f aca="false">INDEX(Rank_Rules!$C$2:$C$9,MATCH(B321,Rank_Rules!$A$2:$A$9,0))</f>
        <v>11</v>
      </c>
      <c r="F321" s="2" t="str">
        <f aca="false">IF(AND(C321&gt;=D321,C321&lt;=E321),"OK","MISMATCH")</f>
        <v>OK</v>
      </c>
      <c r="G321" s="6" t="n">
        <f aca="false">Person_Data!H321</f>
        <v>45.3</v>
      </c>
      <c r="H321" s="2" t="str">
        <f aca="false">IF(G321&gt;=65,"HIGH",IF(G321&gt;=50,"MEDIUM","LOW"))</f>
        <v>LOW</v>
      </c>
    </row>
    <row r="322" customFormat="false" ht="15" hidden="false" customHeight="false" outlineLevel="0" collapsed="false">
      <c r="A322" s="2" t="str">
        <f aca="false">Person_Data!A322</f>
        <v>AO17072</v>
      </c>
      <c r="B322" s="2" t="str">
        <f aca="false">Person_Data!C322</f>
        <v>Captain</v>
      </c>
      <c r="C322" s="5" t="n">
        <f aca="false">Person_Data!D322</f>
        <v>9.15</v>
      </c>
      <c r="D322" s="2" t="n">
        <f aca="false">INDEX(Rank_Rules!$B$2:$B$9,MATCH(B322,Rank_Rules!$A$2:$A$9,0))</f>
        <v>7</v>
      </c>
      <c r="E322" s="2" t="n">
        <f aca="false">INDEX(Rank_Rules!$C$2:$C$9,MATCH(B322,Rank_Rules!$A$2:$A$9,0))</f>
        <v>11</v>
      </c>
      <c r="F322" s="2" t="str">
        <f aca="false">IF(AND(C322&gt;=D322,C322&lt;=E322),"OK","MISMATCH")</f>
        <v>OK</v>
      </c>
      <c r="G322" s="6" t="n">
        <f aca="false">Person_Data!H322</f>
        <v>47</v>
      </c>
      <c r="H322" s="2" t="str">
        <f aca="false">IF(G322&gt;=65,"HIGH",IF(G322&gt;=50,"MEDIUM","LOW"))</f>
        <v>LOW</v>
      </c>
    </row>
    <row r="323" customFormat="false" ht="15" hidden="false" customHeight="false" outlineLevel="0" collapsed="false">
      <c r="A323" s="2" t="str">
        <f aca="false">Person_Data!A323</f>
        <v>AO24985</v>
      </c>
      <c r="B323" s="2" t="str">
        <f aca="false">Person_Data!C323</f>
        <v>Lieutenant</v>
      </c>
      <c r="C323" s="5" t="n">
        <f aca="false">Person_Data!D323</f>
        <v>1.94</v>
      </c>
      <c r="D323" s="2" t="n">
        <f aca="false">INDEX(Rank_Rules!$B$2:$B$9,MATCH(B323,Rank_Rules!$A$2:$A$9,0))</f>
        <v>1</v>
      </c>
      <c r="E323" s="2" t="n">
        <f aca="false">INDEX(Rank_Rules!$C$2:$C$9,MATCH(B323,Rank_Rules!$A$2:$A$9,0))</f>
        <v>3</v>
      </c>
      <c r="F323" s="2" t="str">
        <f aca="false">IF(AND(C323&gt;=D323,C323&lt;=E323),"OK","MISMATCH")</f>
        <v>OK</v>
      </c>
      <c r="G323" s="6" t="n">
        <f aca="false">Person_Data!H323</f>
        <v>35.4</v>
      </c>
      <c r="H323" s="2" t="str">
        <f aca="false">IF(G323&gt;=65,"HIGH",IF(G323&gt;=50,"MEDIUM","LOW"))</f>
        <v>LOW</v>
      </c>
    </row>
    <row r="324" customFormat="false" ht="15" hidden="false" customHeight="false" outlineLevel="0" collapsed="false">
      <c r="A324" s="2" t="str">
        <f aca="false">Person_Data!A324</f>
        <v>AO21429</v>
      </c>
      <c r="B324" s="2" t="str">
        <f aca="false">Person_Data!C324</f>
        <v>Senior Lieutenant</v>
      </c>
      <c r="C324" s="5" t="n">
        <f aca="false">Person_Data!D324</f>
        <v>5.12</v>
      </c>
      <c r="D324" s="2" t="n">
        <f aca="false">INDEX(Rank_Rules!$B$2:$B$9,MATCH(B324,Rank_Rules!$A$2:$A$9,0))</f>
        <v>4</v>
      </c>
      <c r="E324" s="2" t="n">
        <f aca="false">INDEX(Rank_Rules!$C$2:$C$9,MATCH(B324,Rank_Rules!$A$2:$A$9,0))</f>
        <v>6</v>
      </c>
      <c r="F324" s="2" t="str">
        <f aca="false">IF(AND(C324&gt;=D324,C324&lt;=E324),"OK","MISMATCH")</f>
        <v>OK</v>
      </c>
      <c r="G324" s="6" t="n">
        <f aca="false">Person_Data!H324</f>
        <v>30.6</v>
      </c>
      <c r="H324" s="2" t="str">
        <f aca="false">IF(G324&gt;=65,"HIGH",IF(G324&gt;=50,"MEDIUM","LOW"))</f>
        <v>LOW</v>
      </c>
    </row>
    <row r="325" customFormat="false" ht="15" hidden="false" customHeight="false" outlineLevel="0" collapsed="false">
      <c r="A325" s="2" t="str">
        <f aca="false">Person_Data!A325</f>
        <v>AO20240</v>
      </c>
      <c r="B325" s="2" t="str">
        <f aca="false">Person_Data!C325</f>
        <v>Senior Lieutenant</v>
      </c>
      <c r="C325" s="5" t="n">
        <f aca="false">Person_Data!D325</f>
        <v>5.86</v>
      </c>
      <c r="D325" s="2" t="n">
        <f aca="false">INDEX(Rank_Rules!$B$2:$B$9,MATCH(B325,Rank_Rules!$A$2:$A$9,0))</f>
        <v>4</v>
      </c>
      <c r="E325" s="2" t="n">
        <f aca="false">INDEX(Rank_Rules!$C$2:$C$9,MATCH(B325,Rank_Rules!$A$2:$A$9,0))</f>
        <v>6</v>
      </c>
      <c r="F325" s="2" t="str">
        <f aca="false">IF(AND(C325&gt;=D325,C325&lt;=E325),"OK","MISMATCH")</f>
        <v>OK</v>
      </c>
      <c r="G325" s="6" t="n">
        <f aca="false">Person_Data!H325</f>
        <v>40.5</v>
      </c>
      <c r="H325" s="2" t="str">
        <f aca="false">IF(G325&gt;=65,"HIGH",IF(G325&gt;=50,"MEDIUM","LOW"))</f>
        <v>LOW</v>
      </c>
    </row>
    <row r="326" customFormat="false" ht="15" hidden="false" customHeight="false" outlineLevel="0" collapsed="false">
      <c r="A326" s="2" t="str">
        <f aca="false">Person_Data!A326</f>
        <v>AO16860</v>
      </c>
      <c r="B326" s="2" t="str">
        <f aca="false">Person_Data!C326</f>
        <v>Captain</v>
      </c>
      <c r="C326" s="5" t="n">
        <f aca="false">Person_Data!D326</f>
        <v>10.47</v>
      </c>
      <c r="D326" s="2" t="n">
        <f aca="false">INDEX(Rank_Rules!$B$2:$B$9,MATCH(B326,Rank_Rules!$A$2:$A$9,0))</f>
        <v>7</v>
      </c>
      <c r="E326" s="2" t="n">
        <f aca="false">INDEX(Rank_Rules!$C$2:$C$9,MATCH(B326,Rank_Rules!$A$2:$A$9,0))</f>
        <v>11</v>
      </c>
      <c r="F326" s="2" t="str">
        <f aca="false">IF(AND(C326&gt;=D326,C326&lt;=E326),"OK","MISMATCH")</f>
        <v>OK</v>
      </c>
      <c r="G326" s="6" t="n">
        <f aca="false">Person_Data!H326</f>
        <v>37.3</v>
      </c>
      <c r="H326" s="2" t="str">
        <f aca="false">IF(G326&gt;=65,"HIGH",IF(G326&gt;=50,"MEDIUM","LOW"))</f>
        <v>LOW</v>
      </c>
    </row>
    <row r="327" customFormat="false" ht="15" hidden="false" customHeight="false" outlineLevel="0" collapsed="false">
      <c r="A327" s="2" t="str">
        <f aca="false">Person_Data!A327</f>
        <v>AO24475</v>
      </c>
      <c r="B327" s="2" t="str">
        <f aca="false">Person_Data!C327</f>
        <v>Lieutenant</v>
      </c>
      <c r="C327" s="5" t="n">
        <f aca="false">Person_Data!D327</f>
        <v>2.25</v>
      </c>
      <c r="D327" s="2" t="n">
        <f aca="false">INDEX(Rank_Rules!$B$2:$B$9,MATCH(B327,Rank_Rules!$A$2:$A$9,0))</f>
        <v>1</v>
      </c>
      <c r="E327" s="2" t="n">
        <f aca="false">INDEX(Rank_Rules!$C$2:$C$9,MATCH(B327,Rank_Rules!$A$2:$A$9,0))</f>
        <v>3</v>
      </c>
      <c r="F327" s="2" t="str">
        <f aca="false">IF(AND(C327&gt;=D327,C327&lt;=E327),"OK","MISMATCH")</f>
        <v>OK</v>
      </c>
      <c r="G327" s="6" t="n">
        <f aca="false">Person_Data!H327</f>
        <v>39.6</v>
      </c>
      <c r="H327" s="2" t="str">
        <f aca="false">IF(G327&gt;=65,"HIGH",IF(G327&gt;=50,"MEDIUM","LOW"))</f>
        <v>LOW</v>
      </c>
    </row>
    <row r="328" customFormat="false" ht="15" hidden="false" customHeight="false" outlineLevel="0" collapsed="false">
      <c r="A328" s="2" t="str">
        <f aca="false">Person_Data!A328</f>
        <v>AO24451</v>
      </c>
      <c r="B328" s="2" t="str">
        <f aca="false">Person_Data!C328</f>
        <v>Lieutenant</v>
      </c>
      <c r="C328" s="5" t="n">
        <f aca="false">Person_Data!D328</f>
        <v>2.08</v>
      </c>
      <c r="D328" s="2" t="n">
        <f aca="false">INDEX(Rank_Rules!$B$2:$B$9,MATCH(B328,Rank_Rules!$A$2:$A$9,0))</f>
        <v>1</v>
      </c>
      <c r="E328" s="2" t="n">
        <f aca="false">INDEX(Rank_Rules!$C$2:$C$9,MATCH(B328,Rank_Rules!$A$2:$A$9,0))</f>
        <v>3</v>
      </c>
      <c r="F328" s="2" t="str">
        <f aca="false">IF(AND(C328&gt;=D328,C328&lt;=E328),"OK","MISMATCH")</f>
        <v>OK</v>
      </c>
      <c r="G328" s="6" t="n">
        <f aca="false">Person_Data!H328</f>
        <v>28.5</v>
      </c>
      <c r="H328" s="2" t="str">
        <f aca="false">IF(G328&gt;=65,"HIGH",IF(G328&gt;=50,"MEDIUM","LOW"))</f>
        <v>LOW</v>
      </c>
    </row>
    <row r="329" customFormat="false" ht="15" hidden="false" customHeight="false" outlineLevel="0" collapsed="false">
      <c r="A329" s="2" t="str">
        <f aca="false">Person_Data!A329</f>
        <v>AO25736</v>
      </c>
      <c r="B329" s="2" t="str">
        <f aca="false">Person_Data!C329</f>
        <v>Lieutenant</v>
      </c>
      <c r="C329" s="5" t="n">
        <f aca="false">Person_Data!D329</f>
        <v>1.3</v>
      </c>
      <c r="D329" s="2" t="n">
        <f aca="false">INDEX(Rank_Rules!$B$2:$B$9,MATCH(B329,Rank_Rules!$A$2:$A$9,0))</f>
        <v>1</v>
      </c>
      <c r="E329" s="2" t="n">
        <f aca="false">INDEX(Rank_Rules!$C$2:$C$9,MATCH(B329,Rank_Rules!$A$2:$A$9,0))</f>
        <v>3</v>
      </c>
      <c r="F329" s="2" t="str">
        <f aca="false">IF(AND(C329&gt;=D329,C329&lt;=E329),"OK","MISMATCH")</f>
        <v>OK</v>
      </c>
      <c r="G329" s="6" t="n">
        <f aca="false">Person_Data!H329</f>
        <v>17.1</v>
      </c>
      <c r="H329" s="2" t="str">
        <f aca="false">IF(G329&gt;=65,"HIGH",IF(G329&gt;=50,"MEDIUM","LOW"))</f>
        <v>LOW</v>
      </c>
    </row>
    <row r="330" customFormat="false" ht="15" hidden="false" customHeight="false" outlineLevel="0" collapsed="false">
      <c r="A330" s="2" t="str">
        <f aca="false">Person_Data!A330</f>
        <v>AO24080</v>
      </c>
      <c r="B330" s="2" t="str">
        <f aca="false">Person_Data!C330</f>
        <v>Lieutenant</v>
      </c>
      <c r="C330" s="5" t="n">
        <f aca="false">Person_Data!D330</f>
        <v>1.53</v>
      </c>
      <c r="D330" s="2" t="n">
        <f aca="false">INDEX(Rank_Rules!$B$2:$B$9,MATCH(B330,Rank_Rules!$A$2:$A$9,0))</f>
        <v>1</v>
      </c>
      <c r="E330" s="2" t="n">
        <f aca="false">INDEX(Rank_Rules!$C$2:$C$9,MATCH(B330,Rank_Rules!$A$2:$A$9,0))</f>
        <v>3</v>
      </c>
      <c r="F330" s="2" t="str">
        <f aca="false">IF(AND(C330&gt;=D330,C330&lt;=E330),"OK","MISMATCH")</f>
        <v>OK</v>
      </c>
      <c r="G330" s="6" t="n">
        <f aca="false">Person_Data!H330</f>
        <v>47</v>
      </c>
      <c r="H330" s="2" t="str">
        <f aca="false">IF(G330&gt;=65,"HIGH",IF(G330&gt;=50,"MEDIUM","LOW"))</f>
        <v>LOW</v>
      </c>
    </row>
    <row r="331" customFormat="false" ht="15" hidden="false" customHeight="false" outlineLevel="0" collapsed="false">
      <c r="A331" s="2" t="str">
        <f aca="false">Person_Data!A331</f>
        <v>AO17637</v>
      </c>
      <c r="B331" s="2" t="str">
        <f aca="false">Person_Data!C331</f>
        <v>Captain</v>
      </c>
      <c r="C331" s="5" t="n">
        <f aca="false">Person_Data!D331</f>
        <v>9.35</v>
      </c>
      <c r="D331" s="2" t="n">
        <f aca="false">INDEX(Rank_Rules!$B$2:$B$9,MATCH(B331,Rank_Rules!$A$2:$A$9,0))</f>
        <v>7</v>
      </c>
      <c r="E331" s="2" t="n">
        <f aca="false">INDEX(Rank_Rules!$C$2:$C$9,MATCH(B331,Rank_Rules!$A$2:$A$9,0))</f>
        <v>11</v>
      </c>
      <c r="F331" s="2" t="str">
        <f aca="false">IF(AND(C331&gt;=D331,C331&lt;=E331),"OK","MISMATCH")</f>
        <v>OK</v>
      </c>
      <c r="G331" s="6" t="n">
        <f aca="false">Person_Data!H331</f>
        <v>65.8</v>
      </c>
      <c r="H331" s="2" t="str">
        <f aca="false">IF(G331&gt;=65,"HIGH",IF(G331&gt;=50,"MEDIUM","LOW"))</f>
        <v>HIGH</v>
      </c>
    </row>
    <row r="332" customFormat="false" ht="15" hidden="false" customHeight="false" outlineLevel="0" collapsed="false">
      <c r="A332" s="2" t="str">
        <f aca="false">Person_Data!A332</f>
        <v>AO23313</v>
      </c>
      <c r="B332" s="2" t="str">
        <f aca="false">Person_Data!C332</f>
        <v>Lieutenant</v>
      </c>
      <c r="C332" s="5" t="n">
        <f aca="false">Person_Data!D332</f>
        <v>2.54</v>
      </c>
      <c r="D332" s="2" t="n">
        <f aca="false">INDEX(Rank_Rules!$B$2:$B$9,MATCH(B332,Rank_Rules!$A$2:$A$9,0))</f>
        <v>1</v>
      </c>
      <c r="E332" s="2" t="n">
        <f aca="false">INDEX(Rank_Rules!$C$2:$C$9,MATCH(B332,Rank_Rules!$A$2:$A$9,0))</f>
        <v>3</v>
      </c>
      <c r="F332" s="2" t="str">
        <f aca="false">IF(AND(C332&gt;=D332,C332&lt;=E332),"OK","MISMATCH")</f>
        <v>OK</v>
      </c>
      <c r="G332" s="6" t="n">
        <f aca="false">Person_Data!H332</f>
        <v>39.4</v>
      </c>
      <c r="H332" s="2" t="str">
        <f aca="false">IF(G332&gt;=65,"HIGH",IF(G332&gt;=50,"MEDIUM","LOW"))</f>
        <v>LOW</v>
      </c>
    </row>
    <row r="333" customFormat="false" ht="15" hidden="false" customHeight="false" outlineLevel="0" collapsed="false">
      <c r="A333" s="2" t="str">
        <f aca="false">Person_Data!A333</f>
        <v>AO23316</v>
      </c>
      <c r="B333" s="2" t="str">
        <f aca="false">Person_Data!C333</f>
        <v>Lieutenant</v>
      </c>
      <c r="C333" s="5" t="n">
        <f aca="false">Person_Data!D333</f>
        <v>2.61</v>
      </c>
      <c r="D333" s="2" t="n">
        <f aca="false">INDEX(Rank_Rules!$B$2:$B$9,MATCH(B333,Rank_Rules!$A$2:$A$9,0))</f>
        <v>1</v>
      </c>
      <c r="E333" s="2" t="n">
        <f aca="false">INDEX(Rank_Rules!$C$2:$C$9,MATCH(B333,Rank_Rules!$A$2:$A$9,0))</f>
        <v>3</v>
      </c>
      <c r="F333" s="2" t="str">
        <f aca="false">IF(AND(C333&gt;=D333,C333&lt;=E333),"OK","MISMATCH")</f>
        <v>OK</v>
      </c>
      <c r="G333" s="6" t="n">
        <f aca="false">Person_Data!H333</f>
        <v>37.4</v>
      </c>
      <c r="H333" s="2" t="str">
        <f aca="false">IF(G333&gt;=65,"HIGH",IF(G333&gt;=50,"MEDIUM","LOW"))</f>
        <v>LOW</v>
      </c>
    </row>
    <row r="334" customFormat="false" ht="15" hidden="false" customHeight="false" outlineLevel="0" collapsed="false">
      <c r="A334" s="2" t="str">
        <f aca="false">Person_Data!A334</f>
        <v>AO17887</v>
      </c>
      <c r="B334" s="2" t="str">
        <f aca="false">Person_Data!C334</f>
        <v>Captain</v>
      </c>
      <c r="C334" s="5" t="n">
        <f aca="false">Person_Data!D334</f>
        <v>8.89</v>
      </c>
      <c r="D334" s="2" t="n">
        <f aca="false">INDEX(Rank_Rules!$B$2:$B$9,MATCH(B334,Rank_Rules!$A$2:$A$9,0))</f>
        <v>7</v>
      </c>
      <c r="E334" s="2" t="n">
        <f aca="false">INDEX(Rank_Rules!$C$2:$C$9,MATCH(B334,Rank_Rules!$A$2:$A$9,0))</f>
        <v>11</v>
      </c>
      <c r="F334" s="2" t="str">
        <f aca="false">IF(AND(C334&gt;=D334,C334&lt;=E334),"OK","MISMATCH")</f>
        <v>OK</v>
      </c>
      <c r="G334" s="6" t="n">
        <f aca="false">Person_Data!H334</f>
        <v>81.1</v>
      </c>
      <c r="H334" s="2" t="str">
        <f aca="false">IF(G334&gt;=65,"HIGH",IF(G334&gt;=50,"MEDIUM","LOW"))</f>
        <v>HIGH</v>
      </c>
    </row>
    <row r="335" customFormat="false" ht="15" hidden="false" customHeight="false" outlineLevel="0" collapsed="false">
      <c r="A335" s="2" t="str">
        <f aca="false">Person_Data!A335</f>
        <v>AO15343</v>
      </c>
      <c r="B335" s="2" t="str">
        <f aca="false">Person_Data!C335</f>
        <v>Captain</v>
      </c>
      <c r="C335" s="5" t="n">
        <f aca="false">Person_Data!D335</f>
        <v>10.96</v>
      </c>
      <c r="D335" s="2" t="n">
        <f aca="false">INDEX(Rank_Rules!$B$2:$B$9,MATCH(B335,Rank_Rules!$A$2:$A$9,0))</f>
        <v>7</v>
      </c>
      <c r="E335" s="2" t="n">
        <f aca="false">INDEX(Rank_Rules!$C$2:$C$9,MATCH(B335,Rank_Rules!$A$2:$A$9,0))</f>
        <v>11</v>
      </c>
      <c r="F335" s="2" t="str">
        <f aca="false">IF(AND(C335&gt;=D335,C335&lt;=E335),"OK","MISMATCH")</f>
        <v>OK</v>
      </c>
      <c r="G335" s="6" t="n">
        <f aca="false">Person_Data!H335</f>
        <v>58.8</v>
      </c>
      <c r="H335" s="2" t="str">
        <f aca="false">IF(G335&gt;=65,"HIGH",IF(G335&gt;=50,"MEDIUM","LOW"))</f>
        <v>MEDIUM</v>
      </c>
    </row>
    <row r="336" customFormat="false" ht="15" hidden="false" customHeight="false" outlineLevel="0" collapsed="false">
      <c r="A336" s="2" t="str">
        <f aca="false">Person_Data!A336</f>
        <v>AO18123</v>
      </c>
      <c r="B336" s="2" t="str">
        <f aca="false">Person_Data!C336</f>
        <v>Captain</v>
      </c>
      <c r="C336" s="5" t="n">
        <f aca="false">Person_Data!D336</f>
        <v>7.59</v>
      </c>
      <c r="D336" s="2" t="n">
        <f aca="false">INDEX(Rank_Rules!$B$2:$B$9,MATCH(B336,Rank_Rules!$A$2:$A$9,0))</f>
        <v>7</v>
      </c>
      <c r="E336" s="2" t="n">
        <f aca="false">INDEX(Rank_Rules!$C$2:$C$9,MATCH(B336,Rank_Rules!$A$2:$A$9,0))</f>
        <v>11</v>
      </c>
      <c r="F336" s="2" t="str">
        <f aca="false">IF(AND(C336&gt;=D336,C336&lt;=E336),"OK","MISMATCH")</f>
        <v>OK</v>
      </c>
      <c r="G336" s="6" t="n">
        <f aca="false">Person_Data!H336</f>
        <v>48.1</v>
      </c>
      <c r="H336" s="2" t="str">
        <f aca="false">IF(G336&gt;=65,"HIGH",IF(G336&gt;=50,"MEDIUM","LOW"))</f>
        <v>LOW</v>
      </c>
    </row>
    <row r="337" customFormat="false" ht="15" hidden="false" customHeight="false" outlineLevel="0" collapsed="false">
      <c r="A337" s="2" t="str">
        <f aca="false">Person_Data!A337</f>
        <v>AO18600</v>
      </c>
      <c r="B337" s="2" t="str">
        <f aca="false">Person_Data!C337</f>
        <v>Captain</v>
      </c>
      <c r="C337" s="5" t="n">
        <f aca="false">Person_Data!D337</f>
        <v>8.29</v>
      </c>
      <c r="D337" s="2" t="n">
        <f aca="false">INDEX(Rank_Rules!$B$2:$B$9,MATCH(B337,Rank_Rules!$A$2:$A$9,0))</f>
        <v>7</v>
      </c>
      <c r="E337" s="2" t="n">
        <f aca="false">INDEX(Rank_Rules!$C$2:$C$9,MATCH(B337,Rank_Rules!$A$2:$A$9,0))</f>
        <v>11</v>
      </c>
      <c r="F337" s="2" t="str">
        <f aca="false">IF(AND(C337&gt;=D337,C337&lt;=E337),"OK","MISMATCH")</f>
        <v>OK</v>
      </c>
      <c r="G337" s="6" t="n">
        <f aca="false">Person_Data!H337</f>
        <v>45.7</v>
      </c>
      <c r="H337" s="2" t="str">
        <f aca="false">IF(G337&gt;=65,"HIGH",IF(G337&gt;=50,"MEDIUM","LOW"))</f>
        <v>LOW</v>
      </c>
    </row>
    <row r="338" customFormat="false" ht="15" hidden="false" customHeight="false" outlineLevel="0" collapsed="false">
      <c r="A338" s="2" t="str">
        <f aca="false">Person_Data!A338</f>
        <v>AO24112</v>
      </c>
      <c r="B338" s="2" t="str">
        <f aca="false">Person_Data!C338</f>
        <v>Lieutenant</v>
      </c>
      <c r="C338" s="5" t="n">
        <f aca="false">Person_Data!D338</f>
        <v>2.02</v>
      </c>
      <c r="D338" s="2" t="n">
        <f aca="false">INDEX(Rank_Rules!$B$2:$B$9,MATCH(B338,Rank_Rules!$A$2:$A$9,0))</f>
        <v>1</v>
      </c>
      <c r="E338" s="2" t="n">
        <f aca="false">INDEX(Rank_Rules!$C$2:$C$9,MATCH(B338,Rank_Rules!$A$2:$A$9,0))</f>
        <v>3</v>
      </c>
      <c r="F338" s="2" t="str">
        <f aca="false">IF(AND(C338&gt;=D338,C338&lt;=E338),"OK","MISMATCH")</f>
        <v>OK</v>
      </c>
      <c r="G338" s="6" t="n">
        <f aca="false">Person_Data!H338</f>
        <v>57.4</v>
      </c>
      <c r="H338" s="2" t="str">
        <f aca="false">IF(G338&gt;=65,"HIGH",IF(G338&gt;=50,"MEDIUM","LOW"))</f>
        <v>MEDIUM</v>
      </c>
    </row>
    <row r="339" customFormat="false" ht="15" hidden="false" customHeight="false" outlineLevel="0" collapsed="false">
      <c r="A339" s="2" t="str">
        <f aca="false">Person_Data!A339</f>
        <v>AO18070</v>
      </c>
      <c r="B339" s="2" t="str">
        <f aca="false">Person_Data!C339</f>
        <v>Captain</v>
      </c>
      <c r="C339" s="5" t="n">
        <f aca="false">Person_Data!D339</f>
        <v>8.31</v>
      </c>
      <c r="D339" s="2" t="n">
        <f aca="false">INDEX(Rank_Rules!$B$2:$B$9,MATCH(B339,Rank_Rules!$A$2:$A$9,0))</f>
        <v>7</v>
      </c>
      <c r="E339" s="2" t="n">
        <f aca="false">INDEX(Rank_Rules!$C$2:$C$9,MATCH(B339,Rank_Rules!$A$2:$A$9,0))</f>
        <v>11</v>
      </c>
      <c r="F339" s="2" t="str">
        <f aca="false">IF(AND(C339&gt;=D339,C339&lt;=E339),"OK","MISMATCH")</f>
        <v>OK</v>
      </c>
      <c r="G339" s="6" t="n">
        <f aca="false">Person_Data!H339</f>
        <v>54.6</v>
      </c>
      <c r="H339" s="2" t="str">
        <f aca="false">IF(G339&gt;=65,"HIGH",IF(G339&gt;=50,"MEDIUM","LOW"))</f>
        <v>MEDIUM</v>
      </c>
    </row>
    <row r="340" customFormat="false" ht="15" hidden="false" customHeight="false" outlineLevel="0" collapsed="false">
      <c r="A340" s="2" t="str">
        <f aca="false">Person_Data!A340</f>
        <v>AO24903</v>
      </c>
      <c r="B340" s="2" t="str">
        <f aca="false">Person_Data!C340</f>
        <v>Lieutenant</v>
      </c>
      <c r="C340" s="5" t="n">
        <f aca="false">Person_Data!D340</f>
        <v>2.12</v>
      </c>
      <c r="D340" s="2" t="n">
        <f aca="false">INDEX(Rank_Rules!$B$2:$B$9,MATCH(B340,Rank_Rules!$A$2:$A$9,0))</f>
        <v>1</v>
      </c>
      <c r="E340" s="2" t="n">
        <f aca="false">INDEX(Rank_Rules!$C$2:$C$9,MATCH(B340,Rank_Rules!$A$2:$A$9,0))</f>
        <v>3</v>
      </c>
      <c r="F340" s="2" t="str">
        <f aca="false">IF(AND(C340&gt;=D340,C340&lt;=E340),"OK","MISMATCH")</f>
        <v>OK</v>
      </c>
      <c r="G340" s="6" t="n">
        <f aca="false">Person_Data!H340</f>
        <v>45.3</v>
      </c>
      <c r="H340" s="2" t="str">
        <f aca="false">IF(G340&gt;=65,"HIGH",IF(G340&gt;=50,"MEDIUM","LOW"))</f>
        <v>LOW</v>
      </c>
    </row>
    <row r="341" customFormat="false" ht="15" hidden="false" customHeight="false" outlineLevel="0" collapsed="false">
      <c r="A341" s="2" t="str">
        <f aca="false">Person_Data!A341</f>
        <v>AO21835</v>
      </c>
      <c r="B341" s="2" t="str">
        <f aca="false">Person_Data!C341</f>
        <v>Senior Lieutenant</v>
      </c>
      <c r="C341" s="5" t="n">
        <f aca="false">Person_Data!D341</f>
        <v>4.95</v>
      </c>
      <c r="D341" s="2" t="n">
        <f aca="false">INDEX(Rank_Rules!$B$2:$B$9,MATCH(B341,Rank_Rules!$A$2:$A$9,0))</f>
        <v>4</v>
      </c>
      <c r="E341" s="2" t="n">
        <f aca="false">INDEX(Rank_Rules!$C$2:$C$9,MATCH(B341,Rank_Rules!$A$2:$A$9,0))</f>
        <v>6</v>
      </c>
      <c r="F341" s="2" t="str">
        <f aca="false">IF(AND(C341&gt;=D341,C341&lt;=E341),"OK","MISMATCH")</f>
        <v>OK</v>
      </c>
      <c r="G341" s="6" t="n">
        <f aca="false">Person_Data!H341</f>
        <v>48.1</v>
      </c>
      <c r="H341" s="2" t="str">
        <f aca="false">IF(G341&gt;=65,"HIGH",IF(G341&gt;=50,"MEDIUM","LOW"))</f>
        <v>LOW</v>
      </c>
    </row>
    <row r="342" customFormat="false" ht="15" hidden="false" customHeight="false" outlineLevel="0" collapsed="false">
      <c r="A342" s="2" t="str">
        <f aca="false">Person_Data!A342</f>
        <v>AO21206</v>
      </c>
      <c r="B342" s="2" t="str">
        <f aca="false">Person_Data!C342</f>
        <v>Senior Lieutenant</v>
      </c>
      <c r="C342" s="5" t="n">
        <f aca="false">Person_Data!D342</f>
        <v>5.06</v>
      </c>
      <c r="D342" s="2" t="n">
        <f aca="false">INDEX(Rank_Rules!$B$2:$B$9,MATCH(B342,Rank_Rules!$A$2:$A$9,0))</f>
        <v>4</v>
      </c>
      <c r="E342" s="2" t="n">
        <f aca="false">INDEX(Rank_Rules!$C$2:$C$9,MATCH(B342,Rank_Rules!$A$2:$A$9,0))</f>
        <v>6</v>
      </c>
      <c r="F342" s="2" t="str">
        <f aca="false">IF(AND(C342&gt;=D342,C342&lt;=E342),"OK","MISMATCH")</f>
        <v>OK</v>
      </c>
      <c r="G342" s="6" t="n">
        <f aca="false">Person_Data!H342</f>
        <v>74.9</v>
      </c>
      <c r="H342" s="2" t="str">
        <f aca="false">IF(G342&gt;=65,"HIGH",IF(G342&gt;=50,"MEDIUM","LOW"))</f>
        <v>HIGH</v>
      </c>
    </row>
    <row r="343" customFormat="false" ht="15" hidden="false" customHeight="false" outlineLevel="0" collapsed="false">
      <c r="A343" s="2" t="str">
        <f aca="false">Person_Data!A343</f>
        <v>AO15626</v>
      </c>
      <c r="B343" s="2" t="str">
        <f aca="false">Person_Data!C343</f>
        <v>Captain</v>
      </c>
      <c r="C343" s="5" t="n">
        <f aca="false">Person_Data!D343</f>
        <v>10.82</v>
      </c>
      <c r="D343" s="2" t="n">
        <f aca="false">INDEX(Rank_Rules!$B$2:$B$9,MATCH(B343,Rank_Rules!$A$2:$A$9,0))</f>
        <v>7</v>
      </c>
      <c r="E343" s="2" t="n">
        <f aca="false">INDEX(Rank_Rules!$C$2:$C$9,MATCH(B343,Rank_Rules!$A$2:$A$9,0))</f>
        <v>11</v>
      </c>
      <c r="F343" s="2" t="str">
        <f aca="false">IF(AND(C343&gt;=D343,C343&lt;=E343),"OK","MISMATCH")</f>
        <v>OK</v>
      </c>
      <c r="G343" s="6" t="n">
        <f aca="false">Person_Data!H343</f>
        <v>41.1</v>
      </c>
      <c r="H343" s="2" t="str">
        <f aca="false">IF(G343&gt;=65,"HIGH",IF(G343&gt;=50,"MEDIUM","LOW"))</f>
        <v>LOW</v>
      </c>
    </row>
    <row r="344" customFormat="false" ht="15" hidden="false" customHeight="false" outlineLevel="0" collapsed="false">
      <c r="A344" s="2" t="str">
        <f aca="false">Person_Data!A344</f>
        <v>AO16652</v>
      </c>
      <c r="B344" s="2" t="str">
        <f aca="false">Person_Data!C344</f>
        <v>Captain</v>
      </c>
      <c r="C344" s="5" t="n">
        <f aca="false">Person_Data!D344</f>
        <v>9.85</v>
      </c>
      <c r="D344" s="2" t="n">
        <f aca="false">INDEX(Rank_Rules!$B$2:$B$9,MATCH(B344,Rank_Rules!$A$2:$A$9,0))</f>
        <v>7</v>
      </c>
      <c r="E344" s="2" t="n">
        <f aca="false">INDEX(Rank_Rules!$C$2:$C$9,MATCH(B344,Rank_Rules!$A$2:$A$9,0))</f>
        <v>11</v>
      </c>
      <c r="F344" s="2" t="str">
        <f aca="false">IF(AND(C344&gt;=D344,C344&lt;=E344),"OK","MISMATCH")</f>
        <v>OK</v>
      </c>
      <c r="G344" s="6" t="n">
        <f aca="false">Person_Data!H344</f>
        <v>49.5</v>
      </c>
      <c r="H344" s="2" t="str">
        <f aca="false">IF(G344&gt;=65,"HIGH",IF(G344&gt;=50,"MEDIUM","LOW"))</f>
        <v>LOW</v>
      </c>
    </row>
    <row r="345" customFormat="false" ht="15" hidden="false" customHeight="false" outlineLevel="0" collapsed="false">
      <c r="A345" s="2" t="str">
        <f aca="false">Person_Data!A345</f>
        <v>AO21394</v>
      </c>
      <c r="B345" s="2" t="str">
        <f aca="false">Person_Data!C345</f>
        <v>Senior Lieutenant</v>
      </c>
      <c r="C345" s="5" t="n">
        <f aca="false">Person_Data!D345</f>
        <v>4.98</v>
      </c>
      <c r="D345" s="2" t="n">
        <f aca="false">INDEX(Rank_Rules!$B$2:$B$9,MATCH(B345,Rank_Rules!$A$2:$A$9,0))</f>
        <v>4</v>
      </c>
      <c r="E345" s="2" t="n">
        <f aca="false">INDEX(Rank_Rules!$C$2:$C$9,MATCH(B345,Rank_Rules!$A$2:$A$9,0))</f>
        <v>6</v>
      </c>
      <c r="F345" s="2" t="str">
        <f aca="false">IF(AND(C345&gt;=D345,C345&lt;=E345),"OK","MISMATCH")</f>
        <v>OK</v>
      </c>
      <c r="G345" s="6" t="n">
        <f aca="false">Person_Data!H345</f>
        <v>38.7</v>
      </c>
      <c r="H345" s="2" t="str">
        <f aca="false">IF(G345&gt;=65,"HIGH",IF(G345&gt;=50,"MEDIUM","LOW"))</f>
        <v>LOW</v>
      </c>
    </row>
    <row r="346" customFormat="false" ht="15" hidden="false" customHeight="false" outlineLevel="0" collapsed="false">
      <c r="A346" s="2" t="str">
        <f aca="false">Person_Data!A346</f>
        <v>AO17667</v>
      </c>
      <c r="B346" s="2" t="str">
        <f aca="false">Person_Data!C346</f>
        <v>Captain</v>
      </c>
      <c r="C346" s="5" t="n">
        <f aca="false">Person_Data!D346</f>
        <v>9.23</v>
      </c>
      <c r="D346" s="2" t="n">
        <f aca="false">INDEX(Rank_Rules!$B$2:$B$9,MATCH(B346,Rank_Rules!$A$2:$A$9,0))</f>
        <v>7</v>
      </c>
      <c r="E346" s="2" t="n">
        <f aca="false">INDEX(Rank_Rules!$C$2:$C$9,MATCH(B346,Rank_Rules!$A$2:$A$9,0))</f>
        <v>11</v>
      </c>
      <c r="F346" s="2" t="str">
        <f aca="false">IF(AND(C346&gt;=D346,C346&lt;=E346),"OK","MISMATCH")</f>
        <v>OK</v>
      </c>
      <c r="G346" s="6" t="n">
        <f aca="false">Person_Data!H346</f>
        <v>57.6</v>
      </c>
      <c r="H346" s="2" t="str">
        <f aca="false">IF(G346&gt;=65,"HIGH",IF(G346&gt;=50,"MEDIUM","LOW"))</f>
        <v>MEDIUM</v>
      </c>
    </row>
    <row r="347" customFormat="false" ht="15" hidden="false" customHeight="false" outlineLevel="0" collapsed="false">
      <c r="A347" s="2" t="str">
        <f aca="false">Person_Data!A347</f>
        <v>AO25008</v>
      </c>
      <c r="B347" s="2" t="str">
        <f aca="false">Person_Data!C347</f>
        <v>Lieutenant</v>
      </c>
      <c r="C347" s="5" t="n">
        <f aca="false">Person_Data!D347</f>
        <v>1.05</v>
      </c>
      <c r="D347" s="2" t="n">
        <f aca="false">INDEX(Rank_Rules!$B$2:$B$9,MATCH(B347,Rank_Rules!$A$2:$A$9,0))</f>
        <v>1</v>
      </c>
      <c r="E347" s="2" t="n">
        <f aca="false">INDEX(Rank_Rules!$C$2:$C$9,MATCH(B347,Rank_Rules!$A$2:$A$9,0))</f>
        <v>3</v>
      </c>
      <c r="F347" s="2" t="str">
        <f aca="false">IF(AND(C347&gt;=D347,C347&lt;=E347),"OK","MISMATCH")</f>
        <v>OK</v>
      </c>
      <c r="G347" s="6" t="n">
        <f aca="false">Person_Data!H347</f>
        <v>27.1</v>
      </c>
      <c r="H347" s="2" t="str">
        <f aca="false">IF(G347&gt;=65,"HIGH",IF(G347&gt;=50,"MEDIUM","LOW"))</f>
        <v>LOW</v>
      </c>
    </row>
    <row r="348" customFormat="false" ht="15" hidden="false" customHeight="false" outlineLevel="0" collapsed="false">
      <c r="A348" s="2" t="str">
        <f aca="false">Person_Data!A348</f>
        <v>AO21911</v>
      </c>
      <c r="B348" s="2" t="str">
        <f aca="false">Person_Data!C348</f>
        <v>Senior Lieutenant</v>
      </c>
      <c r="C348" s="5" t="n">
        <f aca="false">Person_Data!D348</f>
        <v>5.34</v>
      </c>
      <c r="D348" s="2" t="n">
        <f aca="false">INDEX(Rank_Rules!$B$2:$B$9,MATCH(B348,Rank_Rules!$A$2:$A$9,0))</f>
        <v>4</v>
      </c>
      <c r="E348" s="2" t="n">
        <f aca="false">INDEX(Rank_Rules!$C$2:$C$9,MATCH(B348,Rank_Rules!$A$2:$A$9,0))</f>
        <v>6</v>
      </c>
      <c r="F348" s="2" t="str">
        <f aca="false">IF(AND(C348&gt;=D348,C348&lt;=E348),"OK","MISMATCH")</f>
        <v>OK</v>
      </c>
      <c r="G348" s="6" t="n">
        <f aca="false">Person_Data!H348</f>
        <v>65.9</v>
      </c>
      <c r="H348" s="2" t="str">
        <f aca="false">IF(G348&gt;=65,"HIGH",IF(G348&gt;=50,"MEDIUM","LOW"))</f>
        <v>HIGH</v>
      </c>
    </row>
    <row r="349" customFormat="false" ht="15" hidden="false" customHeight="false" outlineLevel="0" collapsed="false">
      <c r="A349" s="2" t="str">
        <f aca="false">Person_Data!A349</f>
        <v>AO24650</v>
      </c>
      <c r="B349" s="2" t="str">
        <f aca="false">Person_Data!C349</f>
        <v>Lieutenant</v>
      </c>
      <c r="C349" s="5" t="n">
        <f aca="false">Person_Data!D349</f>
        <v>2.12</v>
      </c>
      <c r="D349" s="2" t="n">
        <f aca="false">INDEX(Rank_Rules!$B$2:$B$9,MATCH(B349,Rank_Rules!$A$2:$A$9,0))</f>
        <v>1</v>
      </c>
      <c r="E349" s="2" t="n">
        <f aca="false">INDEX(Rank_Rules!$C$2:$C$9,MATCH(B349,Rank_Rules!$A$2:$A$9,0))</f>
        <v>3</v>
      </c>
      <c r="F349" s="2" t="str">
        <f aca="false">IF(AND(C349&gt;=D349,C349&lt;=E349),"OK","MISMATCH")</f>
        <v>OK</v>
      </c>
      <c r="G349" s="6" t="n">
        <f aca="false">Person_Data!H349</f>
        <v>66.4</v>
      </c>
      <c r="H349" s="2" t="str">
        <f aca="false">IF(G349&gt;=65,"HIGH",IF(G349&gt;=50,"MEDIUM","LOW"))</f>
        <v>HIGH</v>
      </c>
    </row>
    <row r="350" customFormat="false" ht="15" hidden="false" customHeight="false" outlineLevel="0" collapsed="false">
      <c r="A350" s="2" t="str">
        <f aca="false">Person_Data!A350</f>
        <v>AO13655</v>
      </c>
      <c r="B350" s="2" t="str">
        <f aca="false">Person_Data!C350</f>
        <v>Major</v>
      </c>
      <c r="C350" s="5" t="n">
        <f aca="false">Person_Data!D350</f>
        <v>13.15</v>
      </c>
      <c r="D350" s="2" t="n">
        <f aca="false">INDEX(Rank_Rules!$B$2:$B$9,MATCH(B350,Rank_Rules!$A$2:$A$9,0))</f>
        <v>12</v>
      </c>
      <c r="E350" s="2" t="n">
        <f aca="false">INDEX(Rank_Rules!$C$2:$C$9,MATCH(B350,Rank_Rules!$A$2:$A$9,0))</f>
        <v>15</v>
      </c>
      <c r="F350" s="2" t="str">
        <f aca="false">IF(AND(C350&gt;=D350,C350&lt;=E350),"OK","MISMATCH")</f>
        <v>OK</v>
      </c>
      <c r="G350" s="6" t="n">
        <f aca="false">Person_Data!H350</f>
        <v>51.8</v>
      </c>
      <c r="H350" s="2" t="str">
        <f aca="false">IF(G350&gt;=65,"HIGH",IF(G350&gt;=50,"MEDIUM","LOW"))</f>
        <v>MEDIUM</v>
      </c>
    </row>
    <row r="351" customFormat="false" ht="15" hidden="false" customHeight="false" outlineLevel="0" collapsed="false">
      <c r="A351" s="2" t="str">
        <f aca="false">Person_Data!A351</f>
        <v>AO19192</v>
      </c>
      <c r="B351" s="2" t="str">
        <f aca="false">Person_Data!C351</f>
        <v>Captain</v>
      </c>
      <c r="C351" s="5" t="n">
        <f aca="false">Person_Data!D351</f>
        <v>7.04</v>
      </c>
      <c r="D351" s="2" t="n">
        <f aca="false">INDEX(Rank_Rules!$B$2:$B$9,MATCH(B351,Rank_Rules!$A$2:$A$9,0))</f>
        <v>7</v>
      </c>
      <c r="E351" s="2" t="n">
        <f aca="false">INDEX(Rank_Rules!$C$2:$C$9,MATCH(B351,Rank_Rules!$A$2:$A$9,0))</f>
        <v>11</v>
      </c>
      <c r="F351" s="2" t="str">
        <f aca="false">IF(AND(C351&gt;=D351,C351&lt;=E351),"OK","MISMATCH")</f>
        <v>OK</v>
      </c>
      <c r="G351" s="6" t="n">
        <f aca="false">Person_Data!H351</f>
        <v>55.5</v>
      </c>
      <c r="H351" s="2" t="str">
        <f aca="false">IF(G351&gt;=65,"HIGH",IF(G351&gt;=50,"MEDIUM","LOW"))</f>
        <v>MEDIUM</v>
      </c>
    </row>
    <row r="352" customFormat="false" ht="15" hidden="false" customHeight="false" outlineLevel="0" collapsed="false">
      <c r="A352" s="2" t="str">
        <f aca="false">Person_Data!A352</f>
        <v>AO22118</v>
      </c>
      <c r="B352" s="2" t="str">
        <f aca="false">Person_Data!C352</f>
        <v>Senior Lieutenant</v>
      </c>
      <c r="C352" s="5" t="n">
        <f aca="false">Person_Data!D352</f>
        <v>4.01</v>
      </c>
      <c r="D352" s="2" t="n">
        <f aca="false">INDEX(Rank_Rules!$B$2:$B$9,MATCH(B352,Rank_Rules!$A$2:$A$9,0))</f>
        <v>4</v>
      </c>
      <c r="E352" s="2" t="n">
        <f aca="false">INDEX(Rank_Rules!$C$2:$C$9,MATCH(B352,Rank_Rules!$A$2:$A$9,0))</f>
        <v>6</v>
      </c>
      <c r="F352" s="2" t="str">
        <f aca="false">IF(AND(C352&gt;=D352,C352&lt;=E352),"OK","MISMATCH")</f>
        <v>OK</v>
      </c>
      <c r="G352" s="6" t="n">
        <f aca="false">Person_Data!H352</f>
        <v>79.9</v>
      </c>
      <c r="H352" s="2" t="str">
        <f aca="false">IF(G352&gt;=65,"HIGH",IF(G352&gt;=50,"MEDIUM","LOW"))</f>
        <v>HIGH</v>
      </c>
    </row>
    <row r="353" customFormat="false" ht="15" hidden="false" customHeight="false" outlineLevel="0" collapsed="false">
      <c r="A353" s="2" t="str">
        <f aca="false">Person_Data!A353</f>
        <v>AO24579</v>
      </c>
      <c r="B353" s="2" t="str">
        <f aca="false">Person_Data!C353</f>
        <v>Lieutenant</v>
      </c>
      <c r="C353" s="5" t="n">
        <f aca="false">Person_Data!D353</f>
        <v>1.74</v>
      </c>
      <c r="D353" s="2" t="n">
        <f aca="false">INDEX(Rank_Rules!$B$2:$B$9,MATCH(B353,Rank_Rules!$A$2:$A$9,0))</f>
        <v>1</v>
      </c>
      <c r="E353" s="2" t="n">
        <f aca="false">INDEX(Rank_Rules!$C$2:$C$9,MATCH(B353,Rank_Rules!$A$2:$A$9,0))</f>
        <v>3</v>
      </c>
      <c r="F353" s="2" t="str">
        <f aca="false">IF(AND(C353&gt;=D353,C353&lt;=E353),"OK","MISMATCH")</f>
        <v>OK</v>
      </c>
      <c r="G353" s="6" t="n">
        <f aca="false">Person_Data!H353</f>
        <v>30.1</v>
      </c>
      <c r="H353" s="2" t="str">
        <f aca="false">IF(G353&gt;=65,"HIGH",IF(G353&gt;=50,"MEDIUM","LOW"))</f>
        <v>LOW</v>
      </c>
    </row>
    <row r="354" customFormat="false" ht="15" hidden="false" customHeight="false" outlineLevel="0" collapsed="false">
      <c r="A354" s="2" t="str">
        <f aca="false">Person_Data!A354</f>
        <v>AO12488</v>
      </c>
      <c r="B354" s="2" t="str">
        <f aca="false">Person_Data!C354</f>
        <v>Major</v>
      </c>
      <c r="C354" s="5" t="n">
        <f aca="false">Person_Data!D354</f>
        <v>13.82</v>
      </c>
      <c r="D354" s="2" t="n">
        <f aca="false">INDEX(Rank_Rules!$B$2:$B$9,MATCH(B354,Rank_Rules!$A$2:$A$9,0))</f>
        <v>12</v>
      </c>
      <c r="E354" s="2" t="n">
        <f aca="false">INDEX(Rank_Rules!$C$2:$C$9,MATCH(B354,Rank_Rules!$A$2:$A$9,0))</f>
        <v>15</v>
      </c>
      <c r="F354" s="2" t="str">
        <f aca="false">IF(AND(C354&gt;=D354,C354&lt;=E354),"OK","MISMATCH")</f>
        <v>OK</v>
      </c>
      <c r="G354" s="6" t="n">
        <f aca="false">Person_Data!H354</f>
        <v>53</v>
      </c>
      <c r="H354" s="2" t="str">
        <f aca="false">IF(G354&gt;=65,"HIGH",IF(G354&gt;=50,"MEDIUM","LOW"))</f>
        <v>MEDIUM</v>
      </c>
    </row>
    <row r="355" customFormat="false" ht="15" hidden="false" customHeight="false" outlineLevel="0" collapsed="false">
      <c r="A355" s="2" t="str">
        <f aca="false">Person_Data!A355</f>
        <v>AO24665</v>
      </c>
      <c r="B355" s="2" t="str">
        <f aca="false">Person_Data!C355</f>
        <v>Lieutenant</v>
      </c>
      <c r="C355" s="5" t="n">
        <f aca="false">Person_Data!D355</f>
        <v>1.96</v>
      </c>
      <c r="D355" s="2" t="n">
        <f aca="false">INDEX(Rank_Rules!$B$2:$B$9,MATCH(B355,Rank_Rules!$A$2:$A$9,0))</f>
        <v>1</v>
      </c>
      <c r="E355" s="2" t="n">
        <f aca="false">INDEX(Rank_Rules!$C$2:$C$9,MATCH(B355,Rank_Rules!$A$2:$A$9,0))</f>
        <v>3</v>
      </c>
      <c r="F355" s="2" t="str">
        <f aca="false">IF(AND(C355&gt;=D355,C355&lt;=E355),"OK","MISMATCH")</f>
        <v>OK</v>
      </c>
      <c r="G355" s="6" t="n">
        <f aca="false">Person_Data!H355</f>
        <v>54.4</v>
      </c>
      <c r="H355" s="2" t="str">
        <f aca="false">IF(G355&gt;=65,"HIGH",IF(G355&gt;=50,"MEDIUM","LOW"))</f>
        <v>MEDIUM</v>
      </c>
    </row>
    <row r="356" customFormat="false" ht="15" hidden="false" customHeight="false" outlineLevel="0" collapsed="false">
      <c r="A356" s="2" t="str">
        <f aca="false">Person_Data!A356</f>
        <v>AO18360</v>
      </c>
      <c r="B356" s="2" t="str">
        <f aca="false">Person_Data!C356</f>
        <v>Captain</v>
      </c>
      <c r="C356" s="5" t="n">
        <f aca="false">Person_Data!D356</f>
        <v>8.01</v>
      </c>
      <c r="D356" s="2" t="n">
        <f aca="false">INDEX(Rank_Rules!$B$2:$B$9,MATCH(B356,Rank_Rules!$A$2:$A$9,0))</f>
        <v>7</v>
      </c>
      <c r="E356" s="2" t="n">
        <f aca="false">INDEX(Rank_Rules!$C$2:$C$9,MATCH(B356,Rank_Rules!$A$2:$A$9,0))</f>
        <v>11</v>
      </c>
      <c r="F356" s="2" t="str">
        <f aca="false">IF(AND(C356&gt;=D356,C356&lt;=E356),"OK","MISMATCH")</f>
        <v>OK</v>
      </c>
      <c r="G356" s="6" t="n">
        <f aca="false">Person_Data!H356</f>
        <v>43.7</v>
      </c>
      <c r="H356" s="2" t="str">
        <f aca="false">IF(G356&gt;=65,"HIGH",IF(G356&gt;=50,"MEDIUM","LOW"))</f>
        <v>LOW</v>
      </c>
    </row>
    <row r="357" customFormat="false" ht="15" hidden="false" customHeight="false" outlineLevel="0" collapsed="false">
      <c r="A357" s="2" t="str">
        <f aca="false">Person_Data!A357</f>
        <v>AO12822</v>
      </c>
      <c r="B357" s="2" t="str">
        <f aca="false">Person_Data!C357</f>
        <v>Major</v>
      </c>
      <c r="C357" s="5" t="n">
        <f aca="false">Person_Data!D357</f>
        <v>14.47</v>
      </c>
      <c r="D357" s="2" t="n">
        <f aca="false">INDEX(Rank_Rules!$B$2:$B$9,MATCH(B357,Rank_Rules!$A$2:$A$9,0))</f>
        <v>12</v>
      </c>
      <c r="E357" s="2" t="n">
        <f aca="false">INDEX(Rank_Rules!$C$2:$C$9,MATCH(B357,Rank_Rules!$A$2:$A$9,0))</f>
        <v>15</v>
      </c>
      <c r="F357" s="2" t="str">
        <f aca="false">IF(AND(C357&gt;=D357,C357&lt;=E357),"OK","MISMATCH")</f>
        <v>OK</v>
      </c>
      <c r="G357" s="6" t="n">
        <f aca="false">Person_Data!H357</f>
        <v>56.1</v>
      </c>
      <c r="H357" s="2" t="str">
        <f aca="false">IF(G357&gt;=65,"HIGH",IF(G357&gt;=50,"MEDIUM","LOW"))</f>
        <v>MEDIUM</v>
      </c>
    </row>
    <row r="358" customFormat="false" ht="15" hidden="false" customHeight="false" outlineLevel="0" collapsed="false">
      <c r="A358" s="2" t="str">
        <f aca="false">Person_Data!A358</f>
        <v>AO11938</v>
      </c>
      <c r="B358" s="2" t="str">
        <f aca="false">Person_Data!C358</f>
        <v>Major</v>
      </c>
      <c r="C358" s="5" t="n">
        <f aca="false">Person_Data!D358</f>
        <v>14.99</v>
      </c>
      <c r="D358" s="2" t="n">
        <f aca="false">INDEX(Rank_Rules!$B$2:$B$9,MATCH(B358,Rank_Rules!$A$2:$A$9,0))</f>
        <v>12</v>
      </c>
      <c r="E358" s="2" t="n">
        <f aca="false">INDEX(Rank_Rules!$C$2:$C$9,MATCH(B358,Rank_Rules!$A$2:$A$9,0))</f>
        <v>15</v>
      </c>
      <c r="F358" s="2" t="str">
        <f aca="false">IF(AND(C358&gt;=D358,C358&lt;=E358),"OK","MISMATCH")</f>
        <v>OK</v>
      </c>
      <c r="G358" s="6" t="n">
        <f aca="false">Person_Data!H358</f>
        <v>44.6</v>
      </c>
      <c r="H358" s="2" t="str">
        <f aca="false">IF(G358&gt;=65,"HIGH",IF(G358&gt;=50,"MEDIUM","LOW"))</f>
        <v>LOW</v>
      </c>
    </row>
    <row r="359" customFormat="false" ht="15" hidden="false" customHeight="false" outlineLevel="0" collapsed="false">
      <c r="A359" s="2" t="str">
        <f aca="false">Person_Data!A359</f>
        <v>AO21355</v>
      </c>
      <c r="B359" s="2" t="str">
        <f aca="false">Person_Data!C359</f>
        <v>Senior Lieutenant</v>
      </c>
      <c r="C359" s="5" t="n">
        <f aca="false">Person_Data!D359</f>
        <v>4.95</v>
      </c>
      <c r="D359" s="2" t="n">
        <f aca="false">INDEX(Rank_Rules!$B$2:$B$9,MATCH(B359,Rank_Rules!$A$2:$A$9,0))</f>
        <v>4</v>
      </c>
      <c r="E359" s="2" t="n">
        <f aca="false">INDEX(Rank_Rules!$C$2:$C$9,MATCH(B359,Rank_Rules!$A$2:$A$9,0))</f>
        <v>6</v>
      </c>
      <c r="F359" s="2" t="str">
        <f aca="false">IF(AND(C359&gt;=D359,C359&lt;=E359),"OK","MISMATCH")</f>
        <v>OK</v>
      </c>
      <c r="G359" s="6" t="n">
        <f aca="false">Person_Data!H359</f>
        <v>55.8</v>
      </c>
      <c r="H359" s="2" t="str">
        <f aca="false">IF(G359&gt;=65,"HIGH",IF(G359&gt;=50,"MEDIUM","LOW"))</f>
        <v>MEDIUM</v>
      </c>
    </row>
    <row r="360" customFormat="false" ht="15" hidden="false" customHeight="false" outlineLevel="0" collapsed="false">
      <c r="A360" s="2" t="str">
        <f aca="false">Person_Data!A360</f>
        <v>AO16958</v>
      </c>
      <c r="B360" s="2" t="str">
        <f aca="false">Person_Data!C360</f>
        <v>Captain</v>
      </c>
      <c r="C360" s="5" t="n">
        <f aca="false">Person_Data!D360</f>
        <v>10.23</v>
      </c>
      <c r="D360" s="2" t="n">
        <f aca="false">INDEX(Rank_Rules!$B$2:$B$9,MATCH(B360,Rank_Rules!$A$2:$A$9,0))</f>
        <v>7</v>
      </c>
      <c r="E360" s="2" t="n">
        <f aca="false">INDEX(Rank_Rules!$C$2:$C$9,MATCH(B360,Rank_Rules!$A$2:$A$9,0))</f>
        <v>11</v>
      </c>
      <c r="F360" s="2" t="str">
        <f aca="false">IF(AND(C360&gt;=D360,C360&lt;=E360),"OK","MISMATCH")</f>
        <v>OK</v>
      </c>
      <c r="G360" s="6" t="n">
        <f aca="false">Person_Data!H360</f>
        <v>61.4</v>
      </c>
      <c r="H360" s="2" t="str">
        <f aca="false">IF(G360&gt;=65,"HIGH",IF(G360&gt;=50,"MEDIUM","LOW"))</f>
        <v>MEDIUM</v>
      </c>
    </row>
    <row r="361" customFormat="false" ht="15" hidden="false" customHeight="false" outlineLevel="0" collapsed="false">
      <c r="A361" s="2" t="str">
        <f aca="false">Person_Data!A361</f>
        <v>AO23557</v>
      </c>
      <c r="B361" s="2" t="str">
        <f aca="false">Person_Data!C361</f>
        <v>Lieutenant</v>
      </c>
      <c r="C361" s="5" t="n">
        <f aca="false">Person_Data!D361</f>
        <v>2.79</v>
      </c>
      <c r="D361" s="2" t="n">
        <f aca="false">INDEX(Rank_Rules!$B$2:$B$9,MATCH(B361,Rank_Rules!$A$2:$A$9,0))</f>
        <v>1</v>
      </c>
      <c r="E361" s="2" t="n">
        <f aca="false">INDEX(Rank_Rules!$C$2:$C$9,MATCH(B361,Rank_Rules!$A$2:$A$9,0))</f>
        <v>3</v>
      </c>
      <c r="F361" s="2" t="str">
        <f aca="false">IF(AND(C361&gt;=D361,C361&lt;=E361),"OK","MISMATCH")</f>
        <v>OK</v>
      </c>
      <c r="G361" s="6" t="n">
        <f aca="false">Person_Data!H361</f>
        <v>38.8</v>
      </c>
      <c r="H361" s="2" t="str">
        <f aca="false">IF(G361&gt;=65,"HIGH",IF(G361&gt;=50,"MEDIUM","LOW"))</f>
        <v>LOW</v>
      </c>
    </row>
    <row r="362" customFormat="false" ht="15" hidden="false" customHeight="false" outlineLevel="0" collapsed="false">
      <c r="A362" s="2" t="str">
        <f aca="false">Person_Data!A362</f>
        <v>G08994</v>
      </c>
      <c r="B362" s="2" t="str">
        <f aca="false">Person_Data!C362</f>
        <v>Senior Warrant Officer</v>
      </c>
      <c r="C362" s="5" t="n">
        <f aca="false">Person_Data!D362</f>
        <v>18.06</v>
      </c>
      <c r="D362" s="2" t="n">
        <f aca="false">INDEX(Rank_Rules!$B$2:$B$9,MATCH(B362,Rank_Rules!$A$2:$A$9,0))</f>
        <v>5</v>
      </c>
      <c r="E362" s="2" t="n">
        <f aca="false">INDEX(Rank_Rules!$C$2:$C$9,MATCH(B362,Rank_Rules!$A$2:$A$9,0))</f>
        <v>20</v>
      </c>
      <c r="F362" s="2" t="str">
        <f aca="false">IF(AND(C362&gt;=D362,C362&lt;=E362),"OK","MISMATCH")</f>
        <v>OK</v>
      </c>
      <c r="G362" s="6" t="n">
        <f aca="false">Person_Data!H362</f>
        <v>50.3</v>
      </c>
      <c r="H362" s="2" t="str">
        <f aca="false">IF(G362&gt;=65,"HIGH",IF(G362&gt;=50,"MEDIUM","LOW"))</f>
        <v>MEDIUM</v>
      </c>
    </row>
    <row r="363" customFormat="false" ht="15" hidden="false" customHeight="false" outlineLevel="0" collapsed="false">
      <c r="A363" s="2" t="str">
        <f aca="false">Person_Data!A363</f>
        <v>G21193</v>
      </c>
      <c r="B363" s="2" t="str">
        <f aca="false">Person_Data!C363</f>
        <v>Warrant Officer</v>
      </c>
      <c r="C363" s="5" t="n">
        <f aca="false">Person_Data!D363</f>
        <v>4.69</v>
      </c>
      <c r="D363" s="2" t="n">
        <f aca="false">INDEX(Rank_Rules!$B$2:$B$9,MATCH(B363,Rank_Rules!$A$2:$A$9,0))</f>
        <v>3</v>
      </c>
      <c r="E363" s="2" t="n">
        <f aca="false">INDEX(Rank_Rules!$C$2:$C$9,MATCH(B363,Rank_Rules!$A$2:$A$9,0))</f>
        <v>5</v>
      </c>
      <c r="F363" s="2" t="str">
        <f aca="false">IF(AND(C363&gt;=D363,C363&lt;=E363),"OK","MISMATCH")</f>
        <v>OK</v>
      </c>
      <c r="G363" s="6" t="n">
        <f aca="false">Person_Data!H363</f>
        <v>63.4</v>
      </c>
      <c r="H363" s="2" t="str">
        <f aca="false">IF(G363&gt;=65,"HIGH",IF(G363&gt;=50,"MEDIUM","LOW"))</f>
        <v>MEDIUM</v>
      </c>
    </row>
    <row r="364" customFormat="false" ht="15" hidden="false" customHeight="false" outlineLevel="0" collapsed="false">
      <c r="A364" s="2" t="str">
        <f aca="false">Person_Data!A364</f>
        <v>G23405</v>
      </c>
      <c r="B364" s="2" t="str">
        <f aca="false">Person_Data!C364</f>
        <v>Warrant Officer</v>
      </c>
      <c r="C364" s="5" t="n">
        <f aca="false">Person_Data!D364</f>
        <v>3.12</v>
      </c>
      <c r="D364" s="2" t="n">
        <f aca="false">INDEX(Rank_Rules!$B$2:$B$9,MATCH(B364,Rank_Rules!$A$2:$A$9,0))</f>
        <v>3</v>
      </c>
      <c r="E364" s="2" t="n">
        <f aca="false">INDEX(Rank_Rules!$C$2:$C$9,MATCH(B364,Rank_Rules!$A$2:$A$9,0))</f>
        <v>5</v>
      </c>
      <c r="F364" s="2" t="str">
        <f aca="false">IF(AND(C364&gt;=D364,C364&lt;=E364),"OK","MISMATCH")</f>
        <v>OK</v>
      </c>
      <c r="G364" s="6" t="n">
        <f aca="false">Person_Data!H364</f>
        <v>46</v>
      </c>
      <c r="H364" s="2" t="str">
        <f aca="false">IF(G364&gt;=65,"HIGH",IF(G364&gt;=50,"MEDIUM","LOW"))</f>
        <v>LOW</v>
      </c>
    </row>
    <row r="365" customFormat="false" ht="15" hidden="false" customHeight="false" outlineLevel="0" collapsed="false">
      <c r="A365" s="2" t="str">
        <f aca="false">Person_Data!A365</f>
        <v>G21265</v>
      </c>
      <c r="B365" s="2" t="str">
        <f aca="false">Person_Data!C365</f>
        <v>Warrant Officer</v>
      </c>
      <c r="C365" s="5" t="n">
        <f aca="false">Person_Data!D365</f>
        <v>4.97</v>
      </c>
      <c r="D365" s="2" t="n">
        <f aca="false">INDEX(Rank_Rules!$B$2:$B$9,MATCH(B365,Rank_Rules!$A$2:$A$9,0))</f>
        <v>3</v>
      </c>
      <c r="E365" s="2" t="n">
        <f aca="false">INDEX(Rank_Rules!$C$2:$C$9,MATCH(B365,Rank_Rules!$A$2:$A$9,0))</f>
        <v>5</v>
      </c>
      <c r="F365" s="2" t="str">
        <f aca="false">IF(AND(C365&gt;=D365,C365&lt;=E365),"OK","MISMATCH")</f>
        <v>OK</v>
      </c>
      <c r="G365" s="6" t="n">
        <f aca="false">Person_Data!H365</f>
        <v>46.6</v>
      </c>
      <c r="H365" s="2" t="str">
        <f aca="false">IF(G365&gt;=65,"HIGH",IF(G365&gt;=50,"MEDIUM","LOW"))</f>
        <v>LOW</v>
      </c>
    </row>
    <row r="366" customFormat="false" ht="15" hidden="false" customHeight="false" outlineLevel="0" collapsed="false">
      <c r="A366" s="2" t="str">
        <f aca="false">Person_Data!A366</f>
        <v>G23583</v>
      </c>
      <c r="B366" s="2" t="str">
        <f aca="false">Person_Data!C366</f>
        <v>Warrant Officer</v>
      </c>
      <c r="C366" s="5" t="n">
        <f aca="false">Person_Data!D366</f>
        <v>3.03</v>
      </c>
      <c r="D366" s="2" t="n">
        <f aca="false">INDEX(Rank_Rules!$B$2:$B$9,MATCH(B366,Rank_Rules!$A$2:$A$9,0))</f>
        <v>3</v>
      </c>
      <c r="E366" s="2" t="n">
        <f aca="false">INDEX(Rank_Rules!$C$2:$C$9,MATCH(B366,Rank_Rules!$A$2:$A$9,0))</f>
        <v>5</v>
      </c>
      <c r="F366" s="2" t="str">
        <f aca="false">IF(AND(C366&gt;=D366,C366&lt;=E366),"OK","MISMATCH")</f>
        <v>OK</v>
      </c>
      <c r="G366" s="6" t="n">
        <f aca="false">Person_Data!H366</f>
        <v>66.4</v>
      </c>
      <c r="H366" s="2" t="str">
        <f aca="false">IF(G366&gt;=65,"HIGH",IF(G366&gt;=50,"MEDIUM","LOW"))</f>
        <v>HIGH</v>
      </c>
    </row>
    <row r="367" customFormat="false" ht="15" hidden="false" customHeight="false" outlineLevel="0" collapsed="false">
      <c r="A367" s="2" t="str">
        <f aca="false">Person_Data!A367</f>
        <v>G16237</v>
      </c>
      <c r="B367" s="2" t="str">
        <f aca="false">Person_Data!C367</f>
        <v>Senior Warrant Officer</v>
      </c>
      <c r="C367" s="5" t="n">
        <f aca="false">Person_Data!D367</f>
        <v>9.75</v>
      </c>
      <c r="D367" s="2" t="n">
        <f aca="false">INDEX(Rank_Rules!$B$2:$B$9,MATCH(B367,Rank_Rules!$A$2:$A$9,0))</f>
        <v>5</v>
      </c>
      <c r="E367" s="2" t="n">
        <f aca="false">INDEX(Rank_Rules!$C$2:$C$9,MATCH(B367,Rank_Rules!$A$2:$A$9,0))</f>
        <v>20</v>
      </c>
      <c r="F367" s="2" t="str">
        <f aca="false">IF(AND(C367&gt;=D367,C367&lt;=E367),"OK","MISMATCH")</f>
        <v>OK</v>
      </c>
      <c r="G367" s="6" t="n">
        <f aca="false">Person_Data!H367</f>
        <v>53.4</v>
      </c>
      <c r="H367" s="2" t="str">
        <f aca="false">IF(G367&gt;=65,"HIGH",IF(G367&gt;=50,"MEDIUM","LOW"))</f>
        <v>MEDIUM</v>
      </c>
    </row>
    <row r="368" customFormat="false" ht="15" hidden="false" customHeight="false" outlineLevel="0" collapsed="false">
      <c r="A368" s="2" t="str">
        <f aca="false">Person_Data!A368</f>
        <v>G12759</v>
      </c>
      <c r="B368" s="2" t="str">
        <f aca="false">Person_Data!C368</f>
        <v>Senior Warrant Officer</v>
      </c>
      <c r="C368" s="5" t="n">
        <f aca="false">Person_Data!D368</f>
        <v>13.8</v>
      </c>
      <c r="D368" s="2" t="n">
        <f aca="false">INDEX(Rank_Rules!$B$2:$B$9,MATCH(B368,Rank_Rules!$A$2:$A$9,0))</f>
        <v>5</v>
      </c>
      <c r="E368" s="2" t="n">
        <f aca="false">INDEX(Rank_Rules!$C$2:$C$9,MATCH(B368,Rank_Rules!$A$2:$A$9,0))</f>
        <v>20</v>
      </c>
      <c r="F368" s="2" t="str">
        <f aca="false">IF(AND(C368&gt;=D368,C368&lt;=E368),"OK","MISMATCH")</f>
        <v>OK</v>
      </c>
      <c r="G368" s="6" t="n">
        <f aca="false">Person_Data!H368</f>
        <v>36.3</v>
      </c>
      <c r="H368" s="2" t="str">
        <f aca="false">IF(G368&gt;=65,"HIGH",IF(G368&gt;=50,"MEDIUM","LOW"))</f>
        <v>LOW</v>
      </c>
    </row>
    <row r="369" customFormat="false" ht="15" hidden="false" customHeight="false" outlineLevel="0" collapsed="false">
      <c r="A369" s="2" t="str">
        <f aca="false">Person_Data!A369</f>
        <v>G21712</v>
      </c>
      <c r="B369" s="2" t="str">
        <f aca="false">Person_Data!C369</f>
        <v>Warrant Officer</v>
      </c>
      <c r="C369" s="5" t="n">
        <f aca="false">Person_Data!D369</f>
        <v>4.88</v>
      </c>
      <c r="D369" s="2" t="n">
        <f aca="false">INDEX(Rank_Rules!$B$2:$B$9,MATCH(B369,Rank_Rules!$A$2:$A$9,0))</f>
        <v>3</v>
      </c>
      <c r="E369" s="2" t="n">
        <f aca="false">INDEX(Rank_Rules!$C$2:$C$9,MATCH(B369,Rank_Rules!$A$2:$A$9,0))</f>
        <v>5</v>
      </c>
      <c r="F369" s="2" t="str">
        <f aca="false">IF(AND(C369&gt;=D369,C369&lt;=E369),"OK","MISMATCH")</f>
        <v>OK</v>
      </c>
      <c r="G369" s="6" t="n">
        <f aca="false">Person_Data!H369</f>
        <v>32.8</v>
      </c>
      <c r="H369" s="2" t="str">
        <f aca="false">IF(G369&gt;=65,"HIGH",IF(G369&gt;=50,"MEDIUM","LOW"))</f>
        <v>LOW</v>
      </c>
    </row>
    <row r="370" customFormat="false" ht="15" hidden="false" customHeight="false" outlineLevel="0" collapsed="false">
      <c r="A370" s="2" t="str">
        <f aca="false">Person_Data!A370</f>
        <v>G11534</v>
      </c>
      <c r="B370" s="2" t="str">
        <f aca="false">Person_Data!C370</f>
        <v>Senior Warrant Officer</v>
      </c>
      <c r="C370" s="5" t="n">
        <f aca="false">Person_Data!D370</f>
        <v>15.04</v>
      </c>
      <c r="D370" s="2" t="n">
        <f aca="false">INDEX(Rank_Rules!$B$2:$B$9,MATCH(B370,Rank_Rules!$A$2:$A$9,0))</f>
        <v>5</v>
      </c>
      <c r="E370" s="2" t="n">
        <f aca="false">INDEX(Rank_Rules!$C$2:$C$9,MATCH(B370,Rank_Rules!$A$2:$A$9,0))</f>
        <v>20</v>
      </c>
      <c r="F370" s="2" t="str">
        <f aca="false">IF(AND(C370&gt;=D370,C370&lt;=E370),"OK","MISMATCH")</f>
        <v>OK</v>
      </c>
      <c r="G370" s="6" t="n">
        <f aca="false">Person_Data!H370</f>
        <v>67.1</v>
      </c>
      <c r="H370" s="2" t="str">
        <f aca="false">IF(G370&gt;=65,"HIGH",IF(G370&gt;=50,"MEDIUM","LOW"))</f>
        <v>HIGH</v>
      </c>
    </row>
    <row r="371" customFormat="false" ht="15" hidden="false" customHeight="false" outlineLevel="0" collapsed="false">
      <c r="A371" s="2" t="str">
        <f aca="false">Person_Data!A371</f>
        <v>G13338</v>
      </c>
      <c r="B371" s="2" t="str">
        <f aca="false">Person_Data!C371</f>
        <v>Senior Warrant Officer</v>
      </c>
      <c r="C371" s="5" t="n">
        <f aca="false">Person_Data!D371</f>
        <v>12.52</v>
      </c>
      <c r="D371" s="2" t="n">
        <f aca="false">INDEX(Rank_Rules!$B$2:$B$9,MATCH(B371,Rank_Rules!$A$2:$A$9,0))</f>
        <v>5</v>
      </c>
      <c r="E371" s="2" t="n">
        <f aca="false">INDEX(Rank_Rules!$C$2:$C$9,MATCH(B371,Rank_Rules!$A$2:$A$9,0))</f>
        <v>20</v>
      </c>
      <c r="F371" s="2" t="str">
        <f aca="false">IF(AND(C371&gt;=D371,C371&lt;=E371),"OK","MISMATCH")</f>
        <v>OK</v>
      </c>
      <c r="G371" s="6" t="n">
        <f aca="false">Person_Data!H371</f>
        <v>74.5</v>
      </c>
      <c r="H371" s="2" t="str">
        <f aca="false">IF(G371&gt;=65,"HIGH",IF(G371&gt;=50,"MEDIUM","LOW"))</f>
        <v>HIGH</v>
      </c>
    </row>
    <row r="372" customFormat="false" ht="15" hidden="false" customHeight="false" outlineLevel="0" collapsed="false">
      <c r="A372" s="2" t="str">
        <f aca="false">Person_Data!A372</f>
        <v>G24740</v>
      </c>
      <c r="B372" s="2" t="str">
        <f aca="false">Person_Data!C372</f>
        <v>Junior Warrant Officer</v>
      </c>
      <c r="C372" s="5" t="n">
        <f aca="false">Person_Data!D372</f>
        <v>1.89</v>
      </c>
      <c r="D372" s="2" t="n">
        <f aca="false">INDEX(Rank_Rules!$B$2:$B$9,MATCH(B372,Rank_Rules!$A$2:$A$9,0))</f>
        <v>1</v>
      </c>
      <c r="E372" s="2" t="n">
        <f aca="false">INDEX(Rank_Rules!$C$2:$C$9,MATCH(B372,Rank_Rules!$A$2:$A$9,0))</f>
        <v>3</v>
      </c>
      <c r="F372" s="2" t="str">
        <f aca="false">IF(AND(C372&gt;=D372,C372&lt;=E372),"OK","MISMATCH")</f>
        <v>OK</v>
      </c>
      <c r="G372" s="6" t="n">
        <f aca="false">Person_Data!H372</f>
        <v>42.5</v>
      </c>
      <c r="H372" s="2" t="str">
        <f aca="false">IF(G372&gt;=65,"HIGH",IF(G372&gt;=50,"MEDIUM","LOW"))</f>
        <v>LOW</v>
      </c>
    </row>
    <row r="373" customFormat="false" ht="15" hidden="false" customHeight="false" outlineLevel="0" collapsed="false">
      <c r="A373" s="2" t="str">
        <f aca="false">Person_Data!A373</f>
        <v>G24625</v>
      </c>
      <c r="B373" s="2" t="str">
        <f aca="false">Person_Data!C373</f>
        <v>Junior Warrant Officer</v>
      </c>
      <c r="C373" s="5" t="n">
        <f aca="false">Person_Data!D373</f>
        <v>2.01</v>
      </c>
      <c r="D373" s="2" t="n">
        <f aca="false">INDEX(Rank_Rules!$B$2:$B$9,MATCH(B373,Rank_Rules!$A$2:$A$9,0))</f>
        <v>1</v>
      </c>
      <c r="E373" s="2" t="n">
        <f aca="false">INDEX(Rank_Rules!$C$2:$C$9,MATCH(B373,Rank_Rules!$A$2:$A$9,0))</f>
        <v>3</v>
      </c>
      <c r="F373" s="2" t="str">
        <f aca="false">IF(AND(C373&gt;=D373,C373&lt;=E373),"OK","MISMATCH")</f>
        <v>OK</v>
      </c>
      <c r="G373" s="6" t="n">
        <f aca="false">Person_Data!H373</f>
        <v>38.5</v>
      </c>
      <c r="H373" s="2" t="str">
        <f aca="false">IF(G373&gt;=65,"HIGH",IF(G373&gt;=50,"MEDIUM","LOW"))</f>
        <v>LOW</v>
      </c>
    </row>
    <row r="374" customFormat="false" ht="15" hidden="false" customHeight="false" outlineLevel="0" collapsed="false">
      <c r="A374" s="2" t="str">
        <f aca="false">Person_Data!A374</f>
        <v>G08825</v>
      </c>
      <c r="B374" s="2" t="str">
        <f aca="false">Person_Data!C374</f>
        <v>Senior Warrant Officer</v>
      </c>
      <c r="C374" s="5" t="n">
        <f aca="false">Person_Data!D374</f>
        <v>17.57</v>
      </c>
      <c r="D374" s="2" t="n">
        <f aca="false">INDEX(Rank_Rules!$B$2:$B$9,MATCH(B374,Rank_Rules!$A$2:$A$9,0))</f>
        <v>5</v>
      </c>
      <c r="E374" s="2" t="n">
        <f aca="false">INDEX(Rank_Rules!$C$2:$C$9,MATCH(B374,Rank_Rules!$A$2:$A$9,0))</f>
        <v>20</v>
      </c>
      <c r="F374" s="2" t="str">
        <f aca="false">IF(AND(C374&gt;=D374,C374&lt;=E374),"OK","MISMATCH")</f>
        <v>OK</v>
      </c>
      <c r="G374" s="6" t="n">
        <f aca="false">Person_Data!H374</f>
        <v>41</v>
      </c>
      <c r="H374" s="2" t="str">
        <f aca="false">IF(G374&gt;=65,"HIGH",IF(G374&gt;=50,"MEDIUM","LOW"))</f>
        <v>LOW</v>
      </c>
    </row>
    <row r="375" customFormat="false" ht="15" hidden="false" customHeight="false" outlineLevel="0" collapsed="false">
      <c r="A375" s="2" t="str">
        <f aca="false">Person_Data!A375</f>
        <v>G24228</v>
      </c>
      <c r="B375" s="2" t="str">
        <f aca="false">Person_Data!C375</f>
        <v>Junior Warrant Officer</v>
      </c>
      <c r="C375" s="5" t="n">
        <f aca="false">Person_Data!D375</f>
        <v>1.7</v>
      </c>
      <c r="D375" s="2" t="n">
        <f aca="false">INDEX(Rank_Rules!$B$2:$B$9,MATCH(B375,Rank_Rules!$A$2:$A$9,0))</f>
        <v>1</v>
      </c>
      <c r="E375" s="2" t="n">
        <f aca="false">INDEX(Rank_Rules!$C$2:$C$9,MATCH(B375,Rank_Rules!$A$2:$A$9,0))</f>
        <v>3</v>
      </c>
      <c r="F375" s="2" t="str">
        <f aca="false">IF(AND(C375&gt;=D375,C375&lt;=E375),"OK","MISMATCH")</f>
        <v>OK</v>
      </c>
      <c r="G375" s="6" t="n">
        <f aca="false">Person_Data!H375</f>
        <v>59.4</v>
      </c>
      <c r="H375" s="2" t="str">
        <f aca="false">IF(G375&gt;=65,"HIGH",IF(G375&gt;=50,"MEDIUM","LOW"))</f>
        <v>MEDIUM</v>
      </c>
    </row>
    <row r="376" customFormat="false" ht="15" hidden="false" customHeight="false" outlineLevel="0" collapsed="false">
      <c r="A376" s="2" t="str">
        <f aca="false">Person_Data!A376</f>
        <v>G22914</v>
      </c>
      <c r="B376" s="2" t="str">
        <f aca="false">Person_Data!C376</f>
        <v>Warrant Officer</v>
      </c>
      <c r="C376" s="5" t="n">
        <f aca="false">Person_Data!D376</f>
        <v>4.39</v>
      </c>
      <c r="D376" s="2" t="n">
        <f aca="false">INDEX(Rank_Rules!$B$2:$B$9,MATCH(B376,Rank_Rules!$A$2:$A$9,0))</f>
        <v>3</v>
      </c>
      <c r="E376" s="2" t="n">
        <f aca="false">INDEX(Rank_Rules!$C$2:$C$9,MATCH(B376,Rank_Rules!$A$2:$A$9,0))</f>
        <v>5</v>
      </c>
      <c r="F376" s="2" t="str">
        <f aca="false">IF(AND(C376&gt;=D376,C376&lt;=E376),"OK","MISMATCH")</f>
        <v>OK</v>
      </c>
      <c r="G376" s="6" t="n">
        <f aca="false">Person_Data!H376</f>
        <v>64</v>
      </c>
      <c r="H376" s="2" t="str">
        <f aca="false">IF(G376&gt;=65,"HIGH",IF(G376&gt;=50,"MEDIUM","LOW"))</f>
        <v>MEDIUM</v>
      </c>
    </row>
    <row r="377" customFormat="false" ht="15" hidden="false" customHeight="false" outlineLevel="0" collapsed="false">
      <c r="A377" s="2" t="str">
        <f aca="false">Person_Data!A377</f>
        <v>G23950</v>
      </c>
      <c r="B377" s="2" t="str">
        <f aca="false">Person_Data!C377</f>
        <v>Warrant Officer</v>
      </c>
      <c r="C377" s="5" t="n">
        <f aca="false">Person_Data!D377</f>
        <v>3.23</v>
      </c>
      <c r="D377" s="2" t="n">
        <f aca="false">INDEX(Rank_Rules!$B$2:$B$9,MATCH(B377,Rank_Rules!$A$2:$A$9,0))</f>
        <v>3</v>
      </c>
      <c r="E377" s="2" t="n">
        <f aca="false">INDEX(Rank_Rules!$C$2:$C$9,MATCH(B377,Rank_Rules!$A$2:$A$9,0))</f>
        <v>5</v>
      </c>
      <c r="F377" s="2" t="str">
        <f aca="false">IF(AND(C377&gt;=D377,C377&lt;=E377),"OK","MISMATCH")</f>
        <v>OK</v>
      </c>
      <c r="G377" s="6" t="n">
        <f aca="false">Person_Data!H377</f>
        <v>37.4</v>
      </c>
      <c r="H377" s="2" t="str">
        <f aca="false">IF(G377&gt;=65,"HIGH",IF(G377&gt;=50,"MEDIUM","LOW"))</f>
        <v>LOW</v>
      </c>
    </row>
    <row r="378" customFormat="false" ht="15" hidden="false" customHeight="false" outlineLevel="0" collapsed="false">
      <c r="A378" s="2" t="str">
        <f aca="false">Person_Data!A378</f>
        <v>G18229</v>
      </c>
      <c r="B378" s="2" t="str">
        <f aca="false">Person_Data!C378</f>
        <v>Senior Warrant Officer</v>
      </c>
      <c r="C378" s="5" t="n">
        <f aca="false">Person_Data!D378</f>
        <v>7.78</v>
      </c>
      <c r="D378" s="2" t="n">
        <f aca="false">INDEX(Rank_Rules!$B$2:$B$9,MATCH(B378,Rank_Rules!$A$2:$A$9,0))</f>
        <v>5</v>
      </c>
      <c r="E378" s="2" t="n">
        <f aca="false">INDEX(Rank_Rules!$C$2:$C$9,MATCH(B378,Rank_Rules!$A$2:$A$9,0))</f>
        <v>20</v>
      </c>
      <c r="F378" s="2" t="str">
        <f aca="false">IF(AND(C378&gt;=D378,C378&lt;=E378),"OK","MISMATCH")</f>
        <v>OK</v>
      </c>
      <c r="G378" s="6" t="n">
        <f aca="false">Person_Data!H378</f>
        <v>70.6</v>
      </c>
      <c r="H378" s="2" t="str">
        <f aca="false">IF(G378&gt;=65,"HIGH",IF(G378&gt;=50,"MEDIUM","LOW"))</f>
        <v>HIGH</v>
      </c>
    </row>
    <row r="379" customFormat="false" ht="15" hidden="false" customHeight="false" outlineLevel="0" collapsed="false">
      <c r="A379" s="2" t="str">
        <f aca="false">Person_Data!A379</f>
        <v>G10034</v>
      </c>
      <c r="B379" s="2" t="str">
        <f aca="false">Person_Data!C379</f>
        <v>Senior Warrant Officer</v>
      </c>
      <c r="C379" s="5" t="n">
        <f aca="false">Person_Data!D379</f>
        <v>16.5</v>
      </c>
      <c r="D379" s="2" t="n">
        <f aca="false">INDEX(Rank_Rules!$B$2:$B$9,MATCH(B379,Rank_Rules!$A$2:$A$9,0))</f>
        <v>5</v>
      </c>
      <c r="E379" s="2" t="n">
        <f aca="false">INDEX(Rank_Rules!$C$2:$C$9,MATCH(B379,Rank_Rules!$A$2:$A$9,0))</f>
        <v>20</v>
      </c>
      <c r="F379" s="2" t="str">
        <f aca="false">IF(AND(C379&gt;=D379,C379&lt;=E379),"OK","MISMATCH")</f>
        <v>OK</v>
      </c>
      <c r="G379" s="6" t="n">
        <f aca="false">Person_Data!H379</f>
        <v>37.5</v>
      </c>
      <c r="H379" s="2" t="str">
        <f aca="false">IF(G379&gt;=65,"HIGH",IF(G379&gt;=50,"MEDIUM","LOW"))</f>
        <v>LOW</v>
      </c>
    </row>
    <row r="380" customFormat="false" ht="15" hidden="false" customHeight="false" outlineLevel="0" collapsed="false">
      <c r="A380" s="2" t="str">
        <f aca="false">Person_Data!A380</f>
        <v>G24055</v>
      </c>
      <c r="B380" s="2" t="str">
        <f aca="false">Person_Data!C380</f>
        <v>Junior Warrant Officer</v>
      </c>
      <c r="C380" s="5" t="n">
        <f aca="false">Person_Data!D380</f>
        <v>1.75</v>
      </c>
      <c r="D380" s="2" t="n">
        <f aca="false">INDEX(Rank_Rules!$B$2:$B$9,MATCH(B380,Rank_Rules!$A$2:$A$9,0))</f>
        <v>1</v>
      </c>
      <c r="E380" s="2" t="n">
        <f aca="false">INDEX(Rank_Rules!$C$2:$C$9,MATCH(B380,Rank_Rules!$A$2:$A$9,0))</f>
        <v>3</v>
      </c>
      <c r="F380" s="2" t="str">
        <f aca="false">IF(AND(C380&gt;=D380,C380&lt;=E380),"OK","MISMATCH")</f>
        <v>OK</v>
      </c>
      <c r="G380" s="6" t="n">
        <f aca="false">Person_Data!H380</f>
        <v>32.4</v>
      </c>
      <c r="H380" s="2" t="str">
        <f aca="false">IF(G380&gt;=65,"HIGH",IF(G380&gt;=50,"MEDIUM","LOW"))</f>
        <v>LOW</v>
      </c>
    </row>
    <row r="381" customFormat="false" ht="15" hidden="false" customHeight="false" outlineLevel="0" collapsed="false">
      <c r="A381" s="2" t="str">
        <f aca="false">Person_Data!A381</f>
        <v>G17751</v>
      </c>
      <c r="B381" s="2" t="str">
        <f aca="false">Person_Data!C381</f>
        <v>Senior Warrant Officer</v>
      </c>
      <c r="C381" s="5" t="n">
        <f aca="false">Person_Data!D381</f>
        <v>8.7</v>
      </c>
      <c r="D381" s="2" t="n">
        <f aca="false">INDEX(Rank_Rules!$B$2:$B$9,MATCH(B381,Rank_Rules!$A$2:$A$9,0))</f>
        <v>5</v>
      </c>
      <c r="E381" s="2" t="n">
        <f aca="false">INDEX(Rank_Rules!$C$2:$C$9,MATCH(B381,Rank_Rules!$A$2:$A$9,0))</f>
        <v>20</v>
      </c>
      <c r="F381" s="2" t="str">
        <f aca="false">IF(AND(C381&gt;=D381,C381&lt;=E381),"OK","MISMATCH")</f>
        <v>OK</v>
      </c>
      <c r="G381" s="6" t="n">
        <f aca="false">Person_Data!H381</f>
        <v>61.2</v>
      </c>
      <c r="H381" s="2" t="str">
        <f aca="false">IF(G381&gt;=65,"HIGH",IF(G381&gt;=50,"MEDIUM","LOW"))</f>
        <v>MEDIUM</v>
      </c>
    </row>
    <row r="382" customFormat="false" ht="15" hidden="false" customHeight="false" outlineLevel="0" collapsed="false">
      <c r="A382" s="2" t="str">
        <f aca="false">Person_Data!A382</f>
        <v>G21335</v>
      </c>
      <c r="B382" s="2" t="str">
        <f aca="false">Person_Data!C382</f>
        <v>Warrant Officer</v>
      </c>
      <c r="C382" s="5" t="n">
        <f aca="false">Person_Data!D382</f>
        <v>4.8</v>
      </c>
      <c r="D382" s="2" t="n">
        <f aca="false">INDEX(Rank_Rules!$B$2:$B$9,MATCH(B382,Rank_Rules!$A$2:$A$9,0))</f>
        <v>3</v>
      </c>
      <c r="E382" s="2" t="n">
        <f aca="false">INDEX(Rank_Rules!$C$2:$C$9,MATCH(B382,Rank_Rules!$A$2:$A$9,0))</f>
        <v>5</v>
      </c>
      <c r="F382" s="2" t="str">
        <f aca="false">IF(AND(C382&gt;=D382,C382&lt;=E382),"OK","MISMATCH")</f>
        <v>OK</v>
      </c>
      <c r="G382" s="6" t="n">
        <f aca="false">Person_Data!H382</f>
        <v>57.4</v>
      </c>
      <c r="H382" s="2" t="str">
        <f aca="false">IF(G382&gt;=65,"HIGH",IF(G382&gt;=50,"MEDIUM","LOW"))</f>
        <v>MEDIUM</v>
      </c>
    </row>
    <row r="383" customFormat="false" ht="15" hidden="false" customHeight="false" outlineLevel="0" collapsed="false">
      <c r="A383" s="2" t="str">
        <f aca="false">Person_Data!A383</f>
        <v>G19692</v>
      </c>
      <c r="B383" s="2" t="str">
        <f aca="false">Person_Data!C383</f>
        <v>Senior Warrant Officer</v>
      </c>
      <c r="C383" s="5" t="n">
        <f aca="false">Person_Data!D383</f>
        <v>6.99</v>
      </c>
      <c r="D383" s="2" t="n">
        <f aca="false">INDEX(Rank_Rules!$B$2:$B$9,MATCH(B383,Rank_Rules!$A$2:$A$9,0))</f>
        <v>5</v>
      </c>
      <c r="E383" s="2" t="n">
        <f aca="false">INDEX(Rank_Rules!$C$2:$C$9,MATCH(B383,Rank_Rules!$A$2:$A$9,0))</f>
        <v>20</v>
      </c>
      <c r="F383" s="2" t="str">
        <f aca="false">IF(AND(C383&gt;=D383,C383&lt;=E383),"OK","MISMATCH")</f>
        <v>OK</v>
      </c>
      <c r="G383" s="6" t="n">
        <f aca="false">Person_Data!H383</f>
        <v>48.1</v>
      </c>
      <c r="H383" s="2" t="str">
        <f aca="false">IF(G383&gt;=65,"HIGH",IF(G383&gt;=50,"MEDIUM","LOW"))</f>
        <v>LOW</v>
      </c>
    </row>
    <row r="384" customFormat="false" ht="15" hidden="false" customHeight="false" outlineLevel="0" collapsed="false">
      <c r="A384" s="2" t="str">
        <f aca="false">Person_Data!A384</f>
        <v>G18048</v>
      </c>
      <c r="B384" s="2" t="str">
        <f aca="false">Person_Data!C384</f>
        <v>Senior Warrant Officer</v>
      </c>
      <c r="C384" s="5" t="n">
        <f aca="false">Person_Data!D384</f>
        <v>7.67</v>
      </c>
      <c r="D384" s="2" t="n">
        <f aca="false">INDEX(Rank_Rules!$B$2:$B$9,MATCH(B384,Rank_Rules!$A$2:$A$9,0))</f>
        <v>5</v>
      </c>
      <c r="E384" s="2" t="n">
        <f aca="false">INDEX(Rank_Rules!$C$2:$C$9,MATCH(B384,Rank_Rules!$A$2:$A$9,0))</f>
        <v>20</v>
      </c>
      <c r="F384" s="2" t="str">
        <f aca="false">IF(AND(C384&gt;=D384,C384&lt;=E384),"OK","MISMATCH")</f>
        <v>OK</v>
      </c>
      <c r="G384" s="6" t="n">
        <f aca="false">Person_Data!H384</f>
        <v>48.1</v>
      </c>
      <c r="H384" s="2" t="str">
        <f aca="false">IF(G384&gt;=65,"HIGH",IF(G384&gt;=50,"MEDIUM","LOW"))</f>
        <v>LOW</v>
      </c>
    </row>
    <row r="385" customFormat="false" ht="15" hidden="false" customHeight="false" outlineLevel="0" collapsed="false">
      <c r="A385" s="2" t="str">
        <f aca="false">Person_Data!A385</f>
        <v>G23617</v>
      </c>
      <c r="B385" s="2" t="str">
        <f aca="false">Person_Data!C385</f>
        <v>Warrant Officer</v>
      </c>
      <c r="C385" s="5" t="n">
        <f aca="false">Person_Data!D385</f>
        <v>3.45</v>
      </c>
      <c r="D385" s="2" t="n">
        <f aca="false">INDEX(Rank_Rules!$B$2:$B$9,MATCH(B385,Rank_Rules!$A$2:$A$9,0))</f>
        <v>3</v>
      </c>
      <c r="E385" s="2" t="n">
        <f aca="false">INDEX(Rank_Rules!$C$2:$C$9,MATCH(B385,Rank_Rules!$A$2:$A$9,0))</f>
        <v>5</v>
      </c>
      <c r="F385" s="2" t="str">
        <f aca="false">IF(AND(C385&gt;=D385,C385&lt;=E385),"OK","MISMATCH")</f>
        <v>OK</v>
      </c>
      <c r="G385" s="6" t="n">
        <f aca="false">Person_Data!H385</f>
        <v>48.1</v>
      </c>
      <c r="H385" s="2" t="str">
        <f aca="false">IF(G385&gt;=65,"HIGH",IF(G385&gt;=50,"MEDIUM","LOW"))</f>
        <v>LOW</v>
      </c>
    </row>
    <row r="386" customFormat="false" ht="15" hidden="false" customHeight="false" outlineLevel="0" collapsed="false">
      <c r="A386" s="2" t="str">
        <f aca="false">Person_Data!A386</f>
        <v>G18607</v>
      </c>
      <c r="B386" s="2" t="str">
        <f aca="false">Person_Data!C386</f>
        <v>Senior Warrant Officer</v>
      </c>
      <c r="C386" s="5" t="n">
        <f aca="false">Person_Data!D386</f>
        <v>7.66</v>
      </c>
      <c r="D386" s="2" t="n">
        <f aca="false">INDEX(Rank_Rules!$B$2:$B$9,MATCH(B386,Rank_Rules!$A$2:$A$9,0))</f>
        <v>5</v>
      </c>
      <c r="E386" s="2" t="n">
        <f aca="false">INDEX(Rank_Rules!$C$2:$C$9,MATCH(B386,Rank_Rules!$A$2:$A$9,0))</f>
        <v>20</v>
      </c>
      <c r="F386" s="2" t="str">
        <f aca="false">IF(AND(C386&gt;=D386,C386&lt;=E386),"OK","MISMATCH")</f>
        <v>OK</v>
      </c>
      <c r="G386" s="6" t="n">
        <f aca="false">Person_Data!H386</f>
        <v>48.1</v>
      </c>
      <c r="H386" s="2" t="str">
        <f aca="false">IF(G386&gt;=65,"HIGH",IF(G386&gt;=50,"MEDIUM","LOW"))</f>
        <v>LOW</v>
      </c>
    </row>
    <row r="387" customFormat="false" ht="15" hidden="false" customHeight="false" outlineLevel="0" collapsed="false">
      <c r="A387" s="2" t="str">
        <f aca="false">Person_Data!A387</f>
        <v>G22495</v>
      </c>
      <c r="B387" s="2" t="str">
        <f aca="false">Person_Data!C387</f>
        <v>Warrant Officer</v>
      </c>
      <c r="C387" s="5" t="n">
        <f aca="false">Person_Data!D387</f>
        <v>3.53</v>
      </c>
      <c r="D387" s="2" t="n">
        <f aca="false">INDEX(Rank_Rules!$B$2:$B$9,MATCH(B387,Rank_Rules!$A$2:$A$9,0))</f>
        <v>3</v>
      </c>
      <c r="E387" s="2" t="n">
        <f aca="false">INDEX(Rank_Rules!$C$2:$C$9,MATCH(B387,Rank_Rules!$A$2:$A$9,0))</f>
        <v>5</v>
      </c>
      <c r="F387" s="2" t="str">
        <f aca="false">IF(AND(C387&gt;=D387,C387&lt;=E387),"OK","MISMATCH")</f>
        <v>OK</v>
      </c>
      <c r="G387" s="6" t="n">
        <f aca="false">Person_Data!H387</f>
        <v>44.9</v>
      </c>
      <c r="H387" s="2" t="str">
        <f aca="false">IF(G387&gt;=65,"HIGH",IF(G387&gt;=50,"MEDIUM","LOW"))</f>
        <v>LOW</v>
      </c>
    </row>
    <row r="388" customFormat="false" ht="15" hidden="false" customHeight="false" outlineLevel="0" collapsed="false">
      <c r="A388" s="2" t="str">
        <f aca="false">Person_Data!A388</f>
        <v>G22236</v>
      </c>
      <c r="B388" s="2" t="str">
        <f aca="false">Person_Data!C388</f>
        <v>Warrant Officer</v>
      </c>
      <c r="C388" s="5" t="n">
        <f aca="false">Person_Data!D388</f>
        <v>3.7</v>
      </c>
      <c r="D388" s="2" t="n">
        <f aca="false">INDEX(Rank_Rules!$B$2:$B$9,MATCH(B388,Rank_Rules!$A$2:$A$9,0))</f>
        <v>3</v>
      </c>
      <c r="E388" s="2" t="n">
        <f aca="false">INDEX(Rank_Rules!$C$2:$C$9,MATCH(B388,Rank_Rules!$A$2:$A$9,0))</f>
        <v>5</v>
      </c>
      <c r="F388" s="2" t="str">
        <f aca="false">IF(AND(C388&gt;=D388,C388&lt;=E388),"OK","MISMATCH")</f>
        <v>OK</v>
      </c>
      <c r="G388" s="6" t="n">
        <f aca="false">Person_Data!H388</f>
        <v>48.1</v>
      </c>
      <c r="H388" s="2" t="str">
        <f aca="false">IF(G388&gt;=65,"HIGH",IF(G388&gt;=50,"MEDIUM","LOW"))</f>
        <v>LOW</v>
      </c>
    </row>
    <row r="389" customFormat="false" ht="15" hidden="false" customHeight="false" outlineLevel="0" collapsed="false">
      <c r="A389" s="2" t="str">
        <f aca="false">Person_Data!A389</f>
        <v>G22081</v>
      </c>
      <c r="B389" s="2" t="str">
        <f aca="false">Person_Data!C389</f>
        <v>Warrant Officer</v>
      </c>
      <c r="C389" s="5" t="n">
        <f aca="false">Person_Data!D389</f>
        <v>4.26</v>
      </c>
      <c r="D389" s="2" t="n">
        <f aca="false">INDEX(Rank_Rules!$B$2:$B$9,MATCH(B389,Rank_Rules!$A$2:$A$9,0))</f>
        <v>3</v>
      </c>
      <c r="E389" s="2" t="n">
        <f aca="false">INDEX(Rank_Rules!$C$2:$C$9,MATCH(B389,Rank_Rules!$A$2:$A$9,0))</f>
        <v>5</v>
      </c>
      <c r="F389" s="2" t="str">
        <f aca="false">IF(AND(C389&gt;=D389,C389&lt;=E389),"OK","MISMATCH")</f>
        <v>OK</v>
      </c>
      <c r="G389" s="6" t="n">
        <f aca="false">Person_Data!H389</f>
        <v>48.1</v>
      </c>
      <c r="H389" s="2" t="str">
        <f aca="false">IF(G389&gt;=65,"HIGH",IF(G389&gt;=50,"MEDIUM","LOW"))</f>
        <v>LOW</v>
      </c>
    </row>
    <row r="390" customFormat="false" ht="15" hidden="false" customHeight="false" outlineLevel="0" collapsed="false">
      <c r="A390" s="2" t="str">
        <f aca="false">Person_Data!A390</f>
        <v>G23603</v>
      </c>
      <c r="B390" s="2" t="str">
        <f aca="false">Person_Data!C390</f>
        <v>Junior Warrant Officer</v>
      </c>
      <c r="C390" s="5" t="n">
        <f aca="false">Person_Data!D390</f>
        <v>2.67</v>
      </c>
      <c r="D390" s="2" t="n">
        <f aca="false">INDEX(Rank_Rules!$B$2:$B$9,MATCH(B390,Rank_Rules!$A$2:$A$9,0))</f>
        <v>1</v>
      </c>
      <c r="E390" s="2" t="n">
        <f aca="false">INDEX(Rank_Rules!$C$2:$C$9,MATCH(B390,Rank_Rules!$A$2:$A$9,0))</f>
        <v>3</v>
      </c>
      <c r="F390" s="2" t="str">
        <f aca="false">IF(AND(C390&gt;=D390,C390&lt;=E390),"OK","MISMATCH")</f>
        <v>OK</v>
      </c>
      <c r="G390" s="6" t="n">
        <f aca="false">Person_Data!H390</f>
        <v>58</v>
      </c>
      <c r="H390" s="2" t="str">
        <f aca="false">IF(G390&gt;=65,"HIGH",IF(G390&gt;=50,"MEDIUM","LOW"))</f>
        <v>MEDIUM</v>
      </c>
    </row>
    <row r="391" customFormat="false" ht="15" hidden="false" customHeight="false" outlineLevel="0" collapsed="false">
      <c r="A391" s="2" t="str">
        <f aca="false">Person_Data!A391</f>
        <v>G23250</v>
      </c>
      <c r="B391" s="2" t="str">
        <f aca="false">Person_Data!C391</f>
        <v>Warrant Officer</v>
      </c>
      <c r="C391" s="5" t="n">
        <f aca="false">Person_Data!D391</f>
        <v>3.42</v>
      </c>
      <c r="D391" s="2" t="n">
        <f aca="false">INDEX(Rank_Rules!$B$2:$B$9,MATCH(B391,Rank_Rules!$A$2:$A$9,0))</f>
        <v>3</v>
      </c>
      <c r="E391" s="2" t="n">
        <f aca="false">INDEX(Rank_Rules!$C$2:$C$9,MATCH(B391,Rank_Rules!$A$2:$A$9,0))</f>
        <v>5</v>
      </c>
      <c r="F391" s="2" t="str">
        <f aca="false">IF(AND(C391&gt;=D391,C391&lt;=E391),"OK","MISMATCH")</f>
        <v>OK</v>
      </c>
      <c r="G391" s="6" t="n">
        <f aca="false">Person_Data!H391</f>
        <v>57.4</v>
      </c>
      <c r="H391" s="2" t="str">
        <f aca="false">IF(G391&gt;=65,"HIGH",IF(G391&gt;=50,"MEDIUM","LOW"))</f>
        <v>MEDIUM</v>
      </c>
    </row>
    <row r="392" customFormat="false" ht="15" hidden="false" customHeight="false" outlineLevel="0" collapsed="false">
      <c r="A392" s="2" t="str">
        <f aca="false">Person_Data!A392</f>
        <v>G21406</v>
      </c>
      <c r="B392" s="2" t="str">
        <f aca="false">Person_Data!C392</f>
        <v>Warrant Officer</v>
      </c>
      <c r="C392" s="5" t="n">
        <f aca="false">Person_Data!D392</f>
        <v>4.62</v>
      </c>
      <c r="D392" s="2" t="n">
        <f aca="false">INDEX(Rank_Rules!$B$2:$B$9,MATCH(B392,Rank_Rules!$A$2:$A$9,0))</f>
        <v>3</v>
      </c>
      <c r="E392" s="2" t="n">
        <f aca="false">INDEX(Rank_Rules!$C$2:$C$9,MATCH(B392,Rank_Rules!$A$2:$A$9,0))</f>
        <v>5</v>
      </c>
      <c r="F392" s="2" t="str">
        <f aca="false">IF(AND(C392&gt;=D392,C392&lt;=E392),"OK","MISMATCH")</f>
        <v>OK</v>
      </c>
      <c r="G392" s="6" t="n">
        <f aca="false">Person_Data!H392</f>
        <v>48.1</v>
      </c>
      <c r="H392" s="2" t="str">
        <f aca="false">IF(G392&gt;=65,"HIGH",IF(G392&gt;=50,"MEDIUM","LOW"))</f>
        <v>LOW</v>
      </c>
    </row>
    <row r="393" customFormat="false" ht="15" hidden="false" customHeight="false" outlineLevel="0" collapsed="false">
      <c r="A393" s="2" t="str">
        <f aca="false">Person_Data!A393</f>
        <v>G24842</v>
      </c>
      <c r="B393" s="2" t="str">
        <f aca="false">Person_Data!C393</f>
        <v>Junior Warrant Officer</v>
      </c>
      <c r="C393" s="5" t="n">
        <f aca="false">Person_Data!D393</f>
        <v>2.4</v>
      </c>
      <c r="D393" s="2" t="n">
        <f aca="false">INDEX(Rank_Rules!$B$2:$B$9,MATCH(B393,Rank_Rules!$A$2:$A$9,0))</f>
        <v>1</v>
      </c>
      <c r="E393" s="2" t="n">
        <f aca="false">INDEX(Rank_Rules!$C$2:$C$9,MATCH(B393,Rank_Rules!$A$2:$A$9,0))</f>
        <v>3</v>
      </c>
      <c r="F393" s="2" t="str">
        <f aca="false">IF(AND(C393&gt;=D393,C393&lt;=E393),"OK","MISMATCH")</f>
        <v>OK</v>
      </c>
      <c r="G393" s="6" t="n">
        <f aca="false">Person_Data!H393</f>
        <v>48.1</v>
      </c>
      <c r="H393" s="2" t="str">
        <f aca="false">IF(G393&gt;=65,"HIGH",IF(G393&gt;=50,"MEDIUM","LOW"))</f>
        <v>LOW</v>
      </c>
    </row>
    <row r="394" customFormat="false" ht="15" hidden="false" customHeight="false" outlineLevel="0" collapsed="false">
      <c r="A394" s="2" t="str">
        <f aca="false">Person_Data!A394</f>
        <v>G09851</v>
      </c>
      <c r="B394" s="2" t="str">
        <f aca="false">Person_Data!C394</f>
        <v>Senior Warrant Officer</v>
      </c>
      <c r="C394" s="5" t="n">
        <f aca="false">Person_Data!D394</f>
        <v>16.91</v>
      </c>
      <c r="D394" s="2" t="n">
        <f aca="false">INDEX(Rank_Rules!$B$2:$B$9,MATCH(B394,Rank_Rules!$A$2:$A$9,0))</f>
        <v>5</v>
      </c>
      <c r="E394" s="2" t="n">
        <f aca="false">INDEX(Rank_Rules!$C$2:$C$9,MATCH(B394,Rank_Rules!$A$2:$A$9,0))</f>
        <v>20</v>
      </c>
      <c r="F394" s="2" t="str">
        <f aca="false">IF(AND(C394&gt;=D394,C394&lt;=E394),"OK","MISMATCH")</f>
        <v>OK</v>
      </c>
      <c r="G394" s="6" t="n">
        <f aca="false">Person_Data!H394</f>
        <v>57.4</v>
      </c>
      <c r="H394" s="2" t="str">
        <f aca="false">IF(G394&gt;=65,"HIGH",IF(G394&gt;=50,"MEDIUM","LOW"))</f>
        <v>MEDIUM</v>
      </c>
    </row>
    <row r="395" customFormat="false" ht="15" hidden="false" customHeight="false" outlineLevel="0" collapsed="false">
      <c r="A395" s="2" t="str">
        <f aca="false">Person_Data!A395</f>
        <v>G17884</v>
      </c>
      <c r="B395" s="2" t="str">
        <f aca="false">Person_Data!C395</f>
        <v>Senior Warrant Officer</v>
      </c>
      <c r="C395" s="5" t="n">
        <f aca="false">Person_Data!D395</f>
        <v>8.87</v>
      </c>
      <c r="D395" s="2" t="n">
        <f aca="false">INDEX(Rank_Rules!$B$2:$B$9,MATCH(B395,Rank_Rules!$A$2:$A$9,0))</f>
        <v>5</v>
      </c>
      <c r="E395" s="2" t="n">
        <f aca="false">INDEX(Rank_Rules!$C$2:$C$9,MATCH(B395,Rank_Rules!$A$2:$A$9,0))</f>
        <v>20</v>
      </c>
      <c r="F395" s="2" t="str">
        <f aca="false">IF(AND(C395&gt;=D395,C395&lt;=E395),"OK","MISMATCH")</f>
        <v>OK</v>
      </c>
      <c r="G395" s="6" t="n">
        <f aca="false">Person_Data!H395</f>
        <v>48.1</v>
      </c>
      <c r="H395" s="2" t="str">
        <f aca="false">IF(G395&gt;=65,"HIGH",IF(G395&gt;=50,"MEDIUM","LOW"))</f>
        <v>LOW</v>
      </c>
    </row>
    <row r="396" customFormat="false" ht="15" hidden="false" customHeight="false" outlineLevel="0" collapsed="false">
      <c r="A396" s="2" t="str">
        <f aca="false">Person_Data!A396</f>
        <v>G25117</v>
      </c>
      <c r="B396" s="2" t="str">
        <f aca="false">Person_Data!C396</f>
        <v>Junior Warrant Officer</v>
      </c>
      <c r="C396" s="5" t="n">
        <f aca="false">Person_Data!D396</f>
        <v>1.23</v>
      </c>
      <c r="D396" s="2" t="n">
        <f aca="false">INDEX(Rank_Rules!$B$2:$B$9,MATCH(B396,Rank_Rules!$A$2:$A$9,0))</f>
        <v>1</v>
      </c>
      <c r="E396" s="2" t="n">
        <f aca="false">INDEX(Rank_Rules!$C$2:$C$9,MATCH(B396,Rank_Rules!$A$2:$A$9,0))</f>
        <v>3</v>
      </c>
      <c r="F396" s="2" t="str">
        <f aca="false">IF(AND(C396&gt;=D396,C396&lt;=E396),"OK","MISMATCH")</f>
        <v>OK</v>
      </c>
      <c r="G396" s="6" t="n">
        <f aca="false">Person_Data!H396</f>
        <v>48.1</v>
      </c>
      <c r="H396" s="2" t="str">
        <f aca="false">IF(G396&gt;=65,"HIGH",IF(G396&gt;=50,"MEDIUM","LOW"))</f>
        <v>LOW</v>
      </c>
    </row>
    <row r="397" customFormat="false" ht="15" hidden="false" customHeight="false" outlineLevel="0" collapsed="false">
      <c r="A397" s="2" t="str">
        <f aca="false">Person_Data!A397</f>
        <v>G25881</v>
      </c>
      <c r="B397" s="2" t="str">
        <f aca="false">Person_Data!C397</f>
        <v>Junior Warrant Officer</v>
      </c>
      <c r="C397" s="5" t="n">
        <f aca="false">Person_Data!D397</f>
        <v>1.28</v>
      </c>
      <c r="D397" s="2" t="n">
        <f aca="false">INDEX(Rank_Rules!$B$2:$B$9,MATCH(B397,Rank_Rules!$A$2:$A$9,0))</f>
        <v>1</v>
      </c>
      <c r="E397" s="2" t="n">
        <f aca="false">INDEX(Rank_Rules!$C$2:$C$9,MATCH(B397,Rank_Rules!$A$2:$A$9,0))</f>
        <v>3</v>
      </c>
      <c r="F397" s="2" t="str">
        <f aca="false">IF(AND(C397&gt;=D397,C397&lt;=E397),"OK","MISMATCH")</f>
        <v>OK</v>
      </c>
      <c r="G397" s="6" t="n">
        <f aca="false">Person_Data!H397</f>
        <v>48.1</v>
      </c>
      <c r="H397" s="2" t="str">
        <f aca="false">IF(G397&gt;=65,"HIGH",IF(G397&gt;=50,"MEDIUM","LOW"))</f>
        <v>LOW</v>
      </c>
    </row>
    <row r="398" customFormat="false" ht="15" hidden="false" customHeight="false" outlineLevel="0" collapsed="false">
      <c r="A398" s="2" t="str">
        <f aca="false">Person_Data!A398</f>
        <v>G22817</v>
      </c>
      <c r="B398" s="2" t="str">
        <f aca="false">Person_Data!C398</f>
        <v>Warrant Officer</v>
      </c>
      <c r="C398" s="5" t="n">
        <f aca="false">Person_Data!D398</f>
        <v>3.76</v>
      </c>
      <c r="D398" s="2" t="n">
        <f aca="false">INDEX(Rank_Rules!$B$2:$B$9,MATCH(B398,Rank_Rules!$A$2:$A$9,0))</f>
        <v>3</v>
      </c>
      <c r="E398" s="2" t="n">
        <f aca="false">INDEX(Rank_Rules!$C$2:$C$9,MATCH(B398,Rank_Rules!$A$2:$A$9,0))</f>
        <v>5</v>
      </c>
      <c r="F398" s="2" t="str">
        <f aca="false">IF(AND(C398&gt;=D398,C398&lt;=E398),"OK","MISMATCH")</f>
        <v>OK</v>
      </c>
      <c r="G398" s="6" t="n">
        <f aca="false">Person_Data!H398</f>
        <v>48.1</v>
      </c>
      <c r="H398" s="2" t="str">
        <f aca="false">IF(G398&gt;=65,"HIGH",IF(G398&gt;=50,"MEDIUM","LOW"))</f>
        <v>LOW</v>
      </c>
    </row>
    <row r="399" customFormat="false" ht="15" hidden="false" customHeight="false" outlineLevel="0" collapsed="false">
      <c r="A399" s="2" t="str">
        <f aca="false">Person_Data!A399</f>
        <v>G24028</v>
      </c>
      <c r="B399" s="2" t="str">
        <f aca="false">Person_Data!C399</f>
        <v>Junior Warrant Officer</v>
      </c>
      <c r="C399" s="5" t="n">
        <f aca="false">Person_Data!D399</f>
        <v>2.4</v>
      </c>
      <c r="D399" s="2" t="n">
        <f aca="false">INDEX(Rank_Rules!$B$2:$B$9,MATCH(B399,Rank_Rules!$A$2:$A$9,0))</f>
        <v>1</v>
      </c>
      <c r="E399" s="2" t="n">
        <f aca="false">INDEX(Rank_Rules!$C$2:$C$9,MATCH(B399,Rank_Rules!$A$2:$A$9,0))</f>
        <v>3</v>
      </c>
      <c r="F399" s="2" t="str">
        <f aca="false">IF(AND(C399&gt;=D399,C399&lt;=E399),"OK","MISMATCH")</f>
        <v>OK</v>
      </c>
      <c r="G399" s="6" t="n">
        <f aca="false">Person_Data!H399</f>
        <v>57.4</v>
      </c>
      <c r="H399" s="2" t="str">
        <f aca="false">IF(G399&gt;=65,"HIGH",IF(G399&gt;=50,"MEDIUM","LOW"))</f>
        <v>MEDIUM</v>
      </c>
    </row>
    <row r="400" customFormat="false" ht="15" hidden="false" customHeight="false" outlineLevel="0" collapsed="false">
      <c r="A400" s="2" t="str">
        <f aca="false">Person_Data!A400</f>
        <v>G21397</v>
      </c>
      <c r="B400" s="2" t="str">
        <f aca="false">Person_Data!C400</f>
        <v>Senior Warrant Officer</v>
      </c>
      <c r="C400" s="5" t="n">
        <f aca="false">Person_Data!D400</f>
        <v>5.12</v>
      </c>
      <c r="D400" s="2" t="n">
        <f aca="false">INDEX(Rank_Rules!$B$2:$B$9,MATCH(B400,Rank_Rules!$A$2:$A$9,0))</f>
        <v>5</v>
      </c>
      <c r="E400" s="2" t="n">
        <f aca="false">INDEX(Rank_Rules!$C$2:$C$9,MATCH(B400,Rank_Rules!$A$2:$A$9,0))</f>
        <v>20</v>
      </c>
      <c r="F400" s="2" t="str">
        <f aca="false">IF(AND(C400&gt;=D400,C400&lt;=E400),"OK","MISMATCH")</f>
        <v>OK</v>
      </c>
      <c r="G400" s="6" t="n">
        <f aca="false">Person_Data!H400</f>
        <v>48.1</v>
      </c>
      <c r="H400" s="2" t="str">
        <f aca="false">IF(G400&gt;=65,"HIGH",IF(G400&gt;=50,"MEDIUM","LOW"))</f>
        <v>LOW</v>
      </c>
    </row>
    <row r="401" customFormat="false" ht="15" hidden="false" customHeight="false" outlineLevel="0" collapsed="false">
      <c r="A401" s="2" t="str">
        <f aca="false">Person_Data!A401</f>
        <v>G22616</v>
      </c>
      <c r="B401" s="2" t="str">
        <f aca="false">Person_Data!C401</f>
        <v>Warrant Officer</v>
      </c>
      <c r="C401" s="5" t="n">
        <f aca="false">Person_Data!D401</f>
        <v>4.3</v>
      </c>
      <c r="D401" s="2" t="n">
        <f aca="false">INDEX(Rank_Rules!$B$2:$B$9,MATCH(B401,Rank_Rules!$A$2:$A$9,0))</f>
        <v>3</v>
      </c>
      <c r="E401" s="2" t="n">
        <f aca="false">INDEX(Rank_Rules!$C$2:$C$9,MATCH(B401,Rank_Rules!$A$2:$A$9,0))</f>
        <v>5</v>
      </c>
      <c r="F401" s="2" t="str">
        <f aca="false">IF(AND(C401&gt;=D401,C401&lt;=E401),"OK","MISMATCH")</f>
        <v>OK</v>
      </c>
      <c r="G401" s="6" t="n">
        <f aca="false">Person_Data!H401</f>
        <v>57.4</v>
      </c>
      <c r="H401" s="2" t="str">
        <f aca="false">IF(G401&gt;=65,"HIGH",IF(G401&gt;=50,"MEDIUM","LOW"))</f>
        <v>MEDIUM</v>
      </c>
    </row>
    <row r="402" customFormat="false" ht="15" hidden="false" customHeight="false" outlineLevel="0" collapsed="false">
      <c r="A402" s="2" t="str">
        <f aca="false">Person_Data!A402</f>
        <v>G16679</v>
      </c>
      <c r="B402" s="2" t="str">
        <f aca="false">Person_Data!C402</f>
        <v>Senior Warrant Officer</v>
      </c>
      <c r="C402" s="5" t="n">
        <f aca="false">Person_Data!D402</f>
        <v>9.59</v>
      </c>
      <c r="D402" s="2" t="n">
        <f aca="false">INDEX(Rank_Rules!$B$2:$B$9,MATCH(B402,Rank_Rules!$A$2:$A$9,0))</f>
        <v>5</v>
      </c>
      <c r="E402" s="2" t="n">
        <f aca="false">INDEX(Rank_Rules!$C$2:$C$9,MATCH(B402,Rank_Rules!$A$2:$A$9,0))</f>
        <v>20</v>
      </c>
      <c r="F402" s="2" t="str">
        <f aca="false">IF(AND(C402&gt;=D402,C402&lt;=E402),"OK","MISMATCH")</f>
        <v>OK</v>
      </c>
      <c r="G402" s="6" t="n">
        <f aca="false">Person_Data!H402</f>
        <v>48.1</v>
      </c>
      <c r="H402" s="2" t="str">
        <f aca="false">IF(G402&gt;=65,"HIGH",IF(G402&gt;=50,"MEDIUM","LOW"))</f>
        <v>LOW</v>
      </c>
    </row>
    <row r="403" customFormat="false" ht="15" hidden="false" customHeight="false" outlineLevel="0" collapsed="false">
      <c r="A403" s="2" t="str">
        <f aca="false">Person_Data!A403</f>
        <v>G25490</v>
      </c>
      <c r="B403" s="2" t="str">
        <f aca="false">Person_Data!C403</f>
        <v>Junior Warrant Officer</v>
      </c>
      <c r="C403" s="5" t="n">
        <f aca="false">Person_Data!D403</f>
        <v>1.04</v>
      </c>
      <c r="D403" s="2" t="n">
        <f aca="false">INDEX(Rank_Rules!$B$2:$B$9,MATCH(B403,Rank_Rules!$A$2:$A$9,0))</f>
        <v>1</v>
      </c>
      <c r="E403" s="2" t="n">
        <f aca="false">INDEX(Rank_Rules!$C$2:$C$9,MATCH(B403,Rank_Rules!$A$2:$A$9,0))</f>
        <v>3</v>
      </c>
      <c r="F403" s="2" t="str">
        <f aca="false">IF(AND(C403&gt;=D403,C403&lt;=E403),"OK","MISMATCH")</f>
        <v>OK</v>
      </c>
      <c r="G403" s="6" t="n">
        <f aca="false">Person_Data!H403</f>
        <v>48.1</v>
      </c>
      <c r="H403" s="2" t="str">
        <f aca="false">IF(G403&gt;=65,"HIGH",IF(G403&gt;=50,"MEDIUM","LOW"))</f>
        <v>LOW</v>
      </c>
    </row>
    <row r="404" customFormat="false" ht="15" hidden="false" customHeight="false" outlineLevel="0" collapsed="false">
      <c r="A404" s="2" t="str">
        <f aca="false">Person_Data!A404</f>
        <v>G22788</v>
      </c>
      <c r="B404" s="2" t="str">
        <f aca="false">Person_Data!C404</f>
        <v>Warrant Officer</v>
      </c>
      <c r="C404" s="5" t="n">
        <f aca="false">Person_Data!D404</f>
        <v>4.15</v>
      </c>
      <c r="D404" s="2" t="n">
        <f aca="false">INDEX(Rank_Rules!$B$2:$B$9,MATCH(B404,Rank_Rules!$A$2:$A$9,0))</f>
        <v>3</v>
      </c>
      <c r="E404" s="2" t="n">
        <f aca="false">INDEX(Rank_Rules!$C$2:$C$9,MATCH(B404,Rank_Rules!$A$2:$A$9,0))</f>
        <v>5</v>
      </c>
      <c r="F404" s="2" t="str">
        <f aca="false">IF(AND(C404&gt;=D404,C404&lt;=E404),"OK","MISMATCH")</f>
        <v>OK</v>
      </c>
      <c r="G404" s="6" t="n">
        <f aca="false">Person_Data!H404</f>
        <v>57.4</v>
      </c>
      <c r="H404" s="2" t="str">
        <f aca="false">IF(G404&gt;=65,"HIGH",IF(G404&gt;=50,"MEDIUM","LOW"))</f>
        <v>MEDIUM</v>
      </c>
    </row>
    <row r="405" customFormat="false" ht="15" hidden="false" customHeight="false" outlineLevel="0" collapsed="false">
      <c r="A405" s="2" t="str">
        <f aca="false">Person_Data!A405</f>
        <v>G21226</v>
      </c>
      <c r="B405" s="2" t="str">
        <f aca="false">Person_Data!C405</f>
        <v>Warrant Officer</v>
      </c>
      <c r="C405" s="5" t="n">
        <f aca="false">Person_Data!D405</f>
        <v>4.67</v>
      </c>
      <c r="D405" s="2" t="n">
        <f aca="false">INDEX(Rank_Rules!$B$2:$B$9,MATCH(B405,Rank_Rules!$A$2:$A$9,0))</f>
        <v>3</v>
      </c>
      <c r="E405" s="2" t="n">
        <f aca="false">INDEX(Rank_Rules!$C$2:$C$9,MATCH(B405,Rank_Rules!$A$2:$A$9,0))</f>
        <v>5</v>
      </c>
      <c r="F405" s="2" t="str">
        <f aca="false">IF(AND(C405&gt;=D405,C405&lt;=E405),"OK","MISMATCH")</f>
        <v>OK</v>
      </c>
      <c r="G405" s="6" t="n">
        <f aca="false">Person_Data!H405</f>
        <v>46.1</v>
      </c>
      <c r="H405" s="2" t="str">
        <f aca="false">IF(G405&gt;=65,"HIGH",IF(G405&gt;=50,"MEDIUM","LOW"))</f>
        <v>LOW</v>
      </c>
    </row>
    <row r="406" customFormat="false" ht="15" hidden="false" customHeight="false" outlineLevel="0" collapsed="false">
      <c r="A406" s="2" t="str">
        <f aca="false">Person_Data!A406</f>
        <v>G22189</v>
      </c>
      <c r="B406" s="2" t="str">
        <f aca="false">Person_Data!C406</f>
        <v>Warrant Officer</v>
      </c>
      <c r="C406" s="5" t="n">
        <f aca="false">Person_Data!D406</f>
        <v>3.68</v>
      </c>
      <c r="D406" s="2" t="n">
        <f aca="false">INDEX(Rank_Rules!$B$2:$B$9,MATCH(B406,Rank_Rules!$A$2:$A$9,0))</f>
        <v>3</v>
      </c>
      <c r="E406" s="2" t="n">
        <f aca="false">INDEX(Rank_Rules!$C$2:$C$9,MATCH(B406,Rank_Rules!$A$2:$A$9,0))</f>
        <v>5</v>
      </c>
      <c r="F406" s="2" t="str">
        <f aca="false">IF(AND(C406&gt;=D406,C406&lt;=E406),"OK","MISMATCH")</f>
        <v>OK</v>
      </c>
      <c r="G406" s="6" t="n">
        <f aca="false">Person_Data!H406</f>
        <v>48.1</v>
      </c>
      <c r="H406" s="2" t="str">
        <f aca="false">IF(G406&gt;=65,"HIGH",IF(G406&gt;=50,"MEDIUM","LOW"))</f>
        <v>LOW</v>
      </c>
    </row>
    <row r="407" customFormat="false" ht="15" hidden="false" customHeight="false" outlineLevel="0" collapsed="false">
      <c r="A407" s="2" t="str">
        <f aca="false">Person_Data!A407</f>
        <v>G21086</v>
      </c>
      <c r="B407" s="2" t="str">
        <f aca="false">Person_Data!C407</f>
        <v>Warrant Officer</v>
      </c>
      <c r="C407" s="5" t="n">
        <f aca="false">Person_Data!D407</f>
        <v>4.94</v>
      </c>
      <c r="D407" s="2" t="n">
        <f aca="false">INDEX(Rank_Rules!$B$2:$B$9,MATCH(B407,Rank_Rules!$A$2:$A$9,0))</f>
        <v>3</v>
      </c>
      <c r="E407" s="2" t="n">
        <f aca="false">INDEX(Rank_Rules!$C$2:$C$9,MATCH(B407,Rank_Rules!$A$2:$A$9,0))</f>
        <v>5</v>
      </c>
      <c r="F407" s="2" t="str">
        <f aca="false">IF(AND(C407&gt;=D407,C407&lt;=E407),"OK","MISMATCH")</f>
        <v>OK</v>
      </c>
      <c r="G407" s="6" t="n">
        <f aca="false">Person_Data!H407</f>
        <v>44.9</v>
      </c>
      <c r="H407" s="2" t="str">
        <f aca="false">IF(G407&gt;=65,"HIGH",IF(G407&gt;=50,"MEDIUM","LOW"))</f>
        <v>LOW</v>
      </c>
    </row>
    <row r="408" customFormat="false" ht="15" hidden="false" customHeight="false" outlineLevel="0" collapsed="false">
      <c r="A408" s="2" t="str">
        <f aca="false">Person_Data!A408</f>
        <v>G07800</v>
      </c>
      <c r="B408" s="2" t="str">
        <f aca="false">Person_Data!C408</f>
        <v>Senior Warrant Officer</v>
      </c>
      <c r="C408" s="5" t="n">
        <f aca="false">Person_Data!D408</f>
        <v>18.51</v>
      </c>
      <c r="D408" s="2" t="n">
        <f aca="false">INDEX(Rank_Rules!$B$2:$B$9,MATCH(B408,Rank_Rules!$A$2:$A$9,0))</f>
        <v>5</v>
      </c>
      <c r="E408" s="2" t="n">
        <f aca="false">INDEX(Rank_Rules!$C$2:$C$9,MATCH(B408,Rank_Rules!$A$2:$A$9,0))</f>
        <v>20</v>
      </c>
      <c r="F408" s="2" t="str">
        <f aca="false">IF(AND(C408&gt;=D408,C408&lt;=E408),"OK","MISMATCH")</f>
        <v>OK</v>
      </c>
      <c r="G408" s="6" t="n">
        <f aca="false">Person_Data!H408</f>
        <v>48.1</v>
      </c>
      <c r="H408" s="2" t="str">
        <f aca="false">IF(G408&gt;=65,"HIGH",IF(G408&gt;=50,"MEDIUM","LOW"))</f>
        <v>LOW</v>
      </c>
    </row>
    <row r="409" customFormat="false" ht="15" hidden="false" customHeight="false" outlineLevel="0" collapsed="false">
      <c r="A409" s="2" t="str">
        <f aca="false">Person_Data!A409</f>
        <v>G21074</v>
      </c>
      <c r="B409" s="2" t="str">
        <f aca="false">Person_Data!C409</f>
        <v>Warrant Officer</v>
      </c>
      <c r="C409" s="5" t="n">
        <f aca="false">Person_Data!D409</f>
        <v>4.55</v>
      </c>
      <c r="D409" s="2" t="n">
        <f aca="false">INDEX(Rank_Rules!$B$2:$B$9,MATCH(B409,Rank_Rules!$A$2:$A$9,0))</f>
        <v>3</v>
      </c>
      <c r="E409" s="2" t="n">
        <f aca="false">INDEX(Rank_Rules!$C$2:$C$9,MATCH(B409,Rank_Rules!$A$2:$A$9,0))</f>
        <v>5</v>
      </c>
      <c r="F409" s="2" t="str">
        <f aca="false">IF(AND(C409&gt;=D409,C409&lt;=E409),"OK","MISMATCH")</f>
        <v>OK</v>
      </c>
      <c r="G409" s="6" t="n">
        <f aca="false">Person_Data!H409</f>
        <v>48.1</v>
      </c>
      <c r="H409" s="2" t="str">
        <f aca="false">IF(G409&gt;=65,"HIGH",IF(G409&gt;=50,"MEDIUM","LOW"))</f>
        <v>LOW</v>
      </c>
    </row>
    <row r="410" customFormat="false" ht="15" hidden="false" customHeight="false" outlineLevel="0" collapsed="false">
      <c r="A410" s="2" t="str">
        <f aca="false">Person_Data!A410</f>
        <v>G23622</v>
      </c>
      <c r="B410" s="2" t="str">
        <f aca="false">Person_Data!C410</f>
        <v>Warrant Officer</v>
      </c>
      <c r="C410" s="5" t="n">
        <f aca="false">Person_Data!D410</f>
        <v>3.06</v>
      </c>
      <c r="D410" s="2" t="n">
        <f aca="false">INDEX(Rank_Rules!$B$2:$B$9,MATCH(B410,Rank_Rules!$A$2:$A$9,0))</f>
        <v>3</v>
      </c>
      <c r="E410" s="2" t="n">
        <f aca="false">INDEX(Rank_Rules!$C$2:$C$9,MATCH(B410,Rank_Rules!$A$2:$A$9,0))</f>
        <v>5</v>
      </c>
      <c r="F410" s="2" t="str">
        <f aca="false">IF(AND(C410&gt;=D410,C410&lt;=E410),"OK","MISMATCH")</f>
        <v>OK</v>
      </c>
      <c r="G410" s="6" t="n">
        <f aca="false">Person_Data!H410</f>
        <v>48.1</v>
      </c>
      <c r="H410" s="2" t="str">
        <f aca="false">IF(G410&gt;=65,"HIGH",IF(G410&gt;=50,"MEDIUM","LOW"))</f>
        <v>LOW</v>
      </c>
    </row>
    <row r="411" customFormat="false" ht="15" hidden="false" customHeight="false" outlineLevel="0" collapsed="false">
      <c r="A411" s="2" t="str">
        <f aca="false">Person_Data!A411</f>
        <v>G08080</v>
      </c>
      <c r="B411" s="2" t="str">
        <f aca="false">Person_Data!C411</f>
        <v>Senior Warrant Officer</v>
      </c>
      <c r="C411" s="5" t="n">
        <f aca="false">Person_Data!D411</f>
        <v>18.3</v>
      </c>
      <c r="D411" s="2" t="n">
        <f aca="false">INDEX(Rank_Rules!$B$2:$B$9,MATCH(B411,Rank_Rules!$A$2:$A$9,0))</f>
        <v>5</v>
      </c>
      <c r="E411" s="2" t="n">
        <f aca="false">INDEX(Rank_Rules!$C$2:$C$9,MATCH(B411,Rank_Rules!$A$2:$A$9,0))</f>
        <v>20</v>
      </c>
      <c r="F411" s="2" t="str">
        <f aca="false">IF(AND(C411&gt;=D411,C411&lt;=E411),"OK","MISMATCH")</f>
        <v>OK</v>
      </c>
      <c r="G411" s="6" t="n">
        <f aca="false">Person_Data!H411</f>
        <v>48.1</v>
      </c>
      <c r="H411" s="2" t="str">
        <f aca="false">IF(G411&gt;=65,"HIGH",IF(G411&gt;=50,"MEDIUM","LOW"))</f>
        <v>LOW</v>
      </c>
    </row>
    <row r="412" customFormat="false" ht="15" hidden="false" customHeight="false" outlineLevel="0" collapsed="false">
      <c r="A412" s="2" t="str">
        <f aca="false">Person_Data!A412</f>
        <v>G18336</v>
      </c>
      <c r="B412" s="2" t="str">
        <f aca="false">Person_Data!C412</f>
        <v>Senior Warrant Officer</v>
      </c>
      <c r="C412" s="5" t="n">
        <f aca="false">Person_Data!D412</f>
        <v>7.98</v>
      </c>
      <c r="D412" s="2" t="n">
        <f aca="false">INDEX(Rank_Rules!$B$2:$B$9,MATCH(B412,Rank_Rules!$A$2:$A$9,0))</f>
        <v>5</v>
      </c>
      <c r="E412" s="2" t="n">
        <f aca="false">INDEX(Rank_Rules!$C$2:$C$9,MATCH(B412,Rank_Rules!$A$2:$A$9,0))</f>
        <v>20</v>
      </c>
      <c r="F412" s="2" t="str">
        <f aca="false">IF(AND(C412&gt;=D412,C412&lt;=E412),"OK","MISMATCH")</f>
        <v>OK</v>
      </c>
      <c r="G412" s="6" t="n">
        <f aca="false">Person_Data!H412</f>
        <v>46.4</v>
      </c>
      <c r="H412" s="2" t="str">
        <f aca="false">IF(G412&gt;=65,"HIGH",IF(G412&gt;=50,"MEDIUM","LOW"))</f>
        <v>LOW</v>
      </c>
    </row>
    <row r="413" customFormat="false" ht="15" hidden="false" customHeight="false" outlineLevel="0" collapsed="false">
      <c r="A413" s="2" t="str">
        <f aca="false">Person_Data!A413</f>
        <v>G19856</v>
      </c>
      <c r="B413" s="2" t="str">
        <f aca="false">Person_Data!C413</f>
        <v>Senior Warrant Officer</v>
      </c>
      <c r="C413" s="5" t="n">
        <f aca="false">Person_Data!D413</f>
        <v>6.95</v>
      </c>
      <c r="D413" s="2" t="n">
        <f aca="false">INDEX(Rank_Rules!$B$2:$B$9,MATCH(B413,Rank_Rules!$A$2:$A$9,0))</f>
        <v>5</v>
      </c>
      <c r="E413" s="2" t="n">
        <f aca="false">INDEX(Rank_Rules!$C$2:$C$9,MATCH(B413,Rank_Rules!$A$2:$A$9,0))</f>
        <v>20</v>
      </c>
      <c r="F413" s="2" t="str">
        <f aca="false">IF(AND(C413&gt;=D413,C413&lt;=E413),"OK","MISMATCH")</f>
        <v>OK</v>
      </c>
      <c r="G413" s="6" t="n">
        <f aca="false">Person_Data!H413</f>
        <v>48.1</v>
      </c>
      <c r="H413" s="2" t="str">
        <f aca="false">IF(G413&gt;=65,"HIGH",IF(G413&gt;=50,"MEDIUM","LOW"))</f>
        <v>LOW</v>
      </c>
    </row>
    <row r="414" customFormat="false" ht="15" hidden="false" customHeight="false" outlineLevel="0" collapsed="false">
      <c r="A414" s="2" t="str">
        <f aca="false">Person_Data!A414</f>
        <v>G06810</v>
      </c>
      <c r="B414" s="2" t="str">
        <f aca="false">Person_Data!C414</f>
        <v>Senior Warrant Officer</v>
      </c>
      <c r="C414" s="5" t="n">
        <f aca="false">Person_Data!D414</f>
        <v>19.55</v>
      </c>
      <c r="D414" s="2" t="n">
        <f aca="false">INDEX(Rank_Rules!$B$2:$B$9,MATCH(B414,Rank_Rules!$A$2:$A$9,0))</f>
        <v>5</v>
      </c>
      <c r="E414" s="2" t="n">
        <f aca="false">INDEX(Rank_Rules!$C$2:$C$9,MATCH(B414,Rank_Rules!$A$2:$A$9,0))</f>
        <v>20</v>
      </c>
      <c r="F414" s="2" t="str">
        <f aca="false">IF(AND(C414&gt;=D414,C414&lt;=E414),"OK","MISMATCH")</f>
        <v>OK</v>
      </c>
      <c r="G414" s="6" t="n">
        <f aca="false">Person_Data!H414</f>
        <v>48.1</v>
      </c>
      <c r="H414" s="2" t="str">
        <f aca="false">IF(G414&gt;=65,"HIGH",IF(G414&gt;=50,"MEDIUM","LOW"))</f>
        <v>LOW</v>
      </c>
    </row>
    <row r="415" customFormat="false" ht="15" hidden="false" customHeight="false" outlineLevel="0" collapsed="false">
      <c r="A415" s="2" t="str">
        <f aca="false">Person_Data!A415</f>
        <v>G09028</v>
      </c>
      <c r="B415" s="2" t="str">
        <f aca="false">Person_Data!C415</f>
        <v>Senior Warrant Officer</v>
      </c>
      <c r="C415" s="5" t="n">
        <f aca="false">Person_Data!D415</f>
        <v>17.02</v>
      </c>
      <c r="D415" s="2" t="n">
        <f aca="false">INDEX(Rank_Rules!$B$2:$B$9,MATCH(B415,Rank_Rules!$A$2:$A$9,0))</f>
        <v>5</v>
      </c>
      <c r="E415" s="2" t="n">
        <f aca="false">INDEX(Rank_Rules!$C$2:$C$9,MATCH(B415,Rank_Rules!$A$2:$A$9,0))</f>
        <v>20</v>
      </c>
      <c r="F415" s="2" t="str">
        <f aca="false">IF(AND(C415&gt;=D415,C415&lt;=E415),"OK","MISMATCH")</f>
        <v>OK</v>
      </c>
      <c r="G415" s="6" t="n">
        <f aca="false">Person_Data!H415</f>
        <v>48.1</v>
      </c>
      <c r="H415" s="2" t="str">
        <f aca="false">IF(G415&gt;=65,"HIGH",IF(G415&gt;=50,"MEDIUM","LOW"))</f>
        <v>LOW</v>
      </c>
    </row>
    <row r="416" customFormat="false" ht="15" hidden="false" customHeight="false" outlineLevel="0" collapsed="false">
      <c r="A416" s="2" t="str">
        <f aca="false">Person_Data!A416</f>
        <v>G25779</v>
      </c>
      <c r="B416" s="2" t="str">
        <f aca="false">Person_Data!C416</f>
        <v>Junior Warrant Officer</v>
      </c>
      <c r="C416" s="5" t="n">
        <f aca="false">Person_Data!D416</f>
        <v>1</v>
      </c>
      <c r="D416" s="2" t="n">
        <f aca="false">INDEX(Rank_Rules!$B$2:$B$9,MATCH(B416,Rank_Rules!$A$2:$A$9,0))</f>
        <v>1</v>
      </c>
      <c r="E416" s="2" t="n">
        <f aca="false">INDEX(Rank_Rules!$C$2:$C$9,MATCH(B416,Rank_Rules!$A$2:$A$9,0))</f>
        <v>3</v>
      </c>
      <c r="F416" s="2" t="str">
        <f aca="false">IF(AND(C416&gt;=D416,C416&lt;=E416),"OK","MISMATCH")</f>
        <v>OK</v>
      </c>
      <c r="G416" s="6" t="n">
        <f aca="false">Person_Data!H416</f>
        <v>48.1</v>
      </c>
      <c r="H416" s="2" t="str">
        <f aca="false">IF(G416&gt;=65,"HIGH",IF(G416&gt;=50,"MEDIUM","LOW"))</f>
        <v>LOW</v>
      </c>
    </row>
    <row r="417" customFormat="false" ht="15" hidden="false" customHeight="false" outlineLevel="0" collapsed="false">
      <c r="A417" s="2" t="str">
        <f aca="false">Person_Data!A417</f>
        <v>G16461</v>
      </c>
      <c r="B417" s="2" t="str">
        <f aca="false">Person_Data!C417</f>
        <v>Senior Warrant Officer</v>
      </c>
      <c r="C417" s="5" t="n">
        <f aca="false">Person_Data!D417</f>
        <v>9.52</v>
      </c>
      <c r="D417" s="2" t="n">
        <f aca="false">INDEX(Rank_Rules!$B$2:$B$9,MATCH(B417,Rank_Rules!$A$2:$A$9,0))</f>
        <v>5</v>
      </c>
      <c r="E417" s="2" t="n">
        <f aca="false">INDEX(Rank_Rules!$C$2:$C$9,MATCH(B417,Rank_Rules!$A$2:$A$9,0))</f>
        <v>20</v>
      </c>
      <c r="F417" s="2" t="str">
        <f aca="false">IF(AND(C417&gt;=D417,C417&lt;=E417),"OK","MISMATCH")</f>
        <v>OK</v>
      </c>
      <c r="G417" s="6" t="n">
        <f aca="false">Person_Data!H417</f>
        <v>48.1</v>
      </c>
      <c r="H417" s="2" t="str">
        <f aca="false">IF(G417&gt;=65,"HIGH",IF(G417&gt;=50,"MEDIUM","LOW"))</f>
        <v>LOW</v>
      </c>
    </row>
    <row r="418" customFormat="false" ht="15" hidden="false" customHeight="false" outlineLevel="0" collapsed="false">
      <c r="A418" s="2" t="str">
        <f aca="false">Person_Data!A418</f>
        <v>G25044</v>
      </c>
      <c r="B418" s="2" t="str">
        <f aca="false">Person_Data!C418</f>
        <v>Junior Warrant Officer</v>
      </c>
      <c r="C418" s="5" t="n">
        <f aca="false">Person_Data!D418</f>
        <v>1.41</v>
      </c>
      <c r="D418" s="2" t="n">
        <f aca="false">INDEX(Rank_Rules!$B$2:$B$9,MATCH(B418,Rank_Rules!$A$2:$A$9,0))</f>
        <v>1</v>
      </c>
      <c r="E418" s="2" t="n">
        <f aca="false">INDEX(Rank_Rules!$C$2:$C$9,MATCH(B418,Rank_Rules!$A$2:$A$9,0))</f>
        <v>3</v>
      </c>
      <c r="F418" s="2" t="str">
        <f aca="false">IF(AND(C418&gt;=D418,C418&lt;=E418),"OK","MISMATCH")</f>
        <v>OK</v>
      </c>
      <c r="G418" s="6" t="n">
        <f aca="false">Person_Data!H418</f>
        <v>46.4</v>
      </c>
      <c r="H418" s="2" t="str">
        <f aca="false">IF(G418&gt;=65,"HIGH",IF(G418&gt;=50,"MEDIUM","LOW"))</f>
        <v>LOW</v>
      </c>
    </row>
    <row r="419" customFormat="false" ht="15" hidden="false" customHeight="false" outlineLevel="0" collapsed="false">
      <c r="A419" s="2" t="str">
        <f aca="false">Person_Data!A419</f>
        <v>G24144</v>
      </c>
      <c r="B419" s="2" t="str">
        <f aca="false">Person_Data!C419</f>
        <v>Junior Warrant Officer</v>
      </c>
      <c r="C419" s="5" t="n">
        <f aca="false">Person_Data!D419</f>
        <v>2.37</v>
      </c>
      <c r="D419" s="2" t="n">
        <f aca="false">INDEX(Rank_Rules!$B$2:$B$9,MATCH(B419,Rank_Rules!$A$2:$A$9,0))</f>
        <v>1</v>
      </c>
      <c r="E419" s="2" t="n">
        <f aca="false">INDEX(Rank_Rules!$C$2:$C$9,MATCH(B419,Rank_Rules!$A$2:$A$9,0))</f>
        <v>3</v>
      </c>
      <c r="F419" s="2" t="str">
        <f aca="false">IF(AND(C419&gt;=D419,C419&lt;=E419),"OK","MISMATCH")</f>
        <v>OK</v>
      </c>
      <c r="G419" s="6" t="n">
        <f aca="false">Person_Data!H419</f>
        <v>46.6</v>
      </c>
      <c r="H419" s="2" t="str">
        <f aca="false">IF(G419&gt;=65,"HIGH",IF(G419&gt;=50,"MEDIUM","LOW"))</f>
        <v>LOW</v>
      </c>
    </row>
    <row r="420" customFormat="false" ht="15" hidden="false" customHeight="false" outlineLevel="0" collapsed="false">
      <c r="A420" s="2" t="str">
        <f aca="false">Person_Data!A420</f>
        <v>G22135</v>
      </c>
      <c r="B420" s="2" t="str">
        <f aca="false">Person_Data!C420</f>
        <v>Warrant Officer</v>
      </c>
      <c r="C420" s="5" t="n">
        <f aca="false">Person_Data!D420</f>
        <v>3.95</v>
      </c>
      <c r="D420" s="2" t="n">
        <f aca="false">INDEX(Rank_Rules!$B$2:$B$9,MATCH(B420,Rank_Rules!$A$2:$A$9,0))</f>
        <v>3</v>
      </c>
      <c r="E420" s="2" t="n">
        <f aca="false">INDEX(Rank_Rules!$C$2:$C$9,MATCH(B420,Rank_Rules!$A$2:$A$9,0))</f>
        <v>5</v>
      </c>
      <c r="F420" s="2" t="str">
        <f aca="false">IF(AND(C420&gt;=D420,C420&lt;=E420),"OK","MISMATCH")</f>
        <v>OK</v>
      </c>
      <c r="G420" s="6" t="n">
        <f aca="false">Person_Data!H420</f>
        <v>48.1</v>
      </c>
      <c r="H420" s="2" t="str">
        <f aca="false">IF(G420&gt;=65,"HIGH",IF(G420&gt;=50,"MEDIUM","LOW"))</f>
        <v>LOW</v>
      </c>
    </row>
    <row r="421" customFormat="false" ht="15" hidden="false" customHeight="false" outlineLevel="0" collapsed="false">
      <c r="A421" s="2" t="str">
        <f aca="false">Person_Data!A421</f>
        <v>G22448</v>
      </c>
      <c r="B421" s="2" t="str">
        <f aca="false">Person_Data!C421</f>
        <v>Warrant Officer</v>
      </c>
      <c r="C421" s="5" t="n">
        <f aca="false">Person_Data!D421</f>
        <v>4.37</v>
      </c>
      <c r="D421" s="2" t="n">
        <f aca="false">INDEX(Rank_Rules!$B$2:$B$9,MATCH(B421,Rank_Rules!$A$2:$A$9,0))</f>
        <v>3</v>
      </c>
      <c r="E421" s="2" t="n">
        <f aca="false">INDEX(Rank_Rules!$C$2:$C$9,MATCH(B421,Rank_Rules!$A$2:$A$9,0))</f>
        <v>5</v>
      </c>
      <c r="F421" s="2" t="str">
        <f aca="false">IF(AND(C421&gt;=D421,C421&lt;=E421),"OK","MISMATCH")</f>
        <v>OK</v>
      </c>
      <c r="G421" s="6" t="n">
        <f aca="false">Person_Data!H421</f>
        <v>48.1</v>
      </c>
      <c r="H421" s="2" t="str">
        <f aca="false">IF(G421&gt;=65,"HIGH",IF(G421&gt;=50,"MEDIUM","LOW"))</f>
        <v>LOW</v>
      </c>
    </row>
    <row r="422" customFormat="false" ht="15" hidden="false" customHeight="false" outlineLevel="0" collapsed="false">
      <c r="A422" s="2" t="str">
        <f aca="false">Person_Data!A422</f>
        <v>AO97468</v>
      </c>
      <c r="B422" s="2" t="str">
        <f aca="false">Person_Data!C422</f>
        <v>Lieutenant Colonel</v>
      </c>
      <c r="C422" s="5" t="n">
        <f aca="false">Person_Data!D422</f>
        <v>29.09</v>
      </c>
      <c r="D422" s="2" t="n">
        <f aca="false">INDEX(Rank_Rules!$B$2:$B$9,MATCH(B422,Rank_Rules!$A$2:$A$9,0))</f>
        <v>15</v>
      </c>
      <c r="E422" s="2" t="n">
        <f aca="false">INDEX(Rank_Rules!$C$2:$C$9,MATCH(B422,Rank_Rules!$A$2:$A$9,0))</f>
        <v>30</v>
      </c>
      <c r="F422" s="2" t="str">
        <f aca="false">IF(AND(C422&gt;=D422,C422&lt;=E422),"OK","MISMATCH")</f>
        <v>OK</v>
      </c>
      <c r="G422" s="6" t="n">
        <f aca="false">Person_Data!H422</f>
        <v>45.9</v>
      </c>
      <c r="H422" s="2" t="str">
        <f aca="false">IF(G422&gt;=65,"HIGH",IF(G422&gt;=50,"MEDIUM","LOW"))</f>
        <v>LOW</v>
      </c>
    </row>
    <row r="423" customFormat="false" ht="15" hidden="false" customHeight="false" outlineLevel="0" collapsed="false">
      <c r="A423" s="2" t="str">
        <f aca="false">Person_Data!A423</f>
        <v>AO12000</v>
      </c>
      <c r="B423" s="2" t="str">
        <f aca="false">Person_Data!C423</f>
        <v>Major</v>
      </c>
      <c r="C423" s="5" t="n">
        <f aca="false">Person_Data!D423</f>
        <v>14.09</v>
      </c>
      <c r="D423" s="2" t="n">
        <f aca="false">INDEX(Rank_Rules!$B$2:$B$9,MATCH(B423,Rank_Rules!$A$2:$A$9,0))</f>
        <v>12</v>
      </c>
      <c r="E423" s="2" t="n">
        <f aca="false">INDEX(Rank_Rules!$C$2:$C$9,MATCH(B423,Rank_Rules!$A$2:$A$9,0))</f>
        <v>15</v>
      </c>
      <c r="F423" s="2" t="str">
        <f aca="false">IF(AND(C423&gt;=D423,C423&lt;=E423),"OK","MISMATCH")</f>
        <v>OK</v>
      </c>
      <c r="G423" s="6" t="n">
        <f aca="false">Person_Data!H423</f>
        <v>49</v>
      </c>
      <c r="H423" s="2" t="str">
        <f aca="false">IF(G423&gt;=65,"HIGH",IF(G423&gt;=50,"MEDIUM","LOW"))</f>
        <v>LOW</v>
      </c>
    </row>
    <row r="424" customFormat="false" ht="15" hidden="false" customHeight="false" outlineLevel="0" collapsed="false">
      <c r="A424" s="2" t="str">
        <f aca="false">Person_Data!A424</f>
        <v>AO13467</v>
      </c>
      <c r="B424" s="2" t="str">
        <f aca="false">Person_Data!C424</f>
        <v>Major</v>
      </c>
      <c r="C424" s="5" t="n">
        <f aca="false">Person_Data!D424</f>
        <v>12.84</v>
      </c>
      <c r="D424" s="2" t="n">
        <f aca="false">INDEX(Rank_Rules!$B$2:$B$9,MATCH(B424,Rank_Rules!$A$2:$A$9,0))</f>
        <v>12</v>
      </c>
      <c r="E424" s="2" t="n">
        <f aca="false">INDEX(Rank_Rules!$C$2:$C$9,MATCH(B424,Rank_Rules!$A$2:$A$9,0))</f>
        <v>15</v>
      </c>
      <c r="F424" s="2" t="str">
        <f aca="false">IF(AND(C424&gt;=D424,C424&lt;=E424),"OK","MISMATCH")</f>
        <v>OK</v>
      </c>
      <c r="G424" s="6" t="n">
        <f aca="false">Person_Data!H424</f>
        <v>77.7</v>
      </c>
      <c r="H424" s="2" t="str">
        <f aca="false">IF(G424&gt;=65,"HIGH",IF(G424&gt;=50,"MEDIUM","LOW"))</f>
        <v>HIGH</v>
      </c>
    </row>
    <row r="425" customFormat="false" ht="15" hidden="false" customHeight="false" outlineLevel="0" collapsed="false">
      <c r="A425" s="2" t="str">
        <f aca="false">Person_Data!A425</f>
        <v>G06923</v>
      </c>
      <c r="B425" s="2" t="str">
        <f aca="false">Person_Data!C425</f>
        <v>Senior Warrant Officer</v>
      </c>
      <c r="C425" s="5" t="n">
        <f aca="false">Person_Data!D425</f>
        <v>19.63</v>
      </c>
      <c r="D425" s="2" t="n">
        <f aca="false">INDEX(Rank_Rules!$B$2:$B$9,MATCH(B425,Rank_Rules!$A$2:$A$9,0))</f>
        <v>5</v>
      </c>
      <c r="E425" s="2" t="n">
        <f aca="false">INDEX(Rank_Rules!$C$2:$C$9,MATCH(B425,Rank_Rules!$A$2:$A$9,0))</f>
        <v>20</v>
      </c>
      <c r="F425" s="2" t="str">
        <f aca="false">IF(AND(C425&gt;=D425,C425&lt;=E425),"OK","MISMATCH")</f>
        <v>OK</v>
      </c>
      <c r="G425" s="6" t="n">
        <f aca="false">Person_Data!H425</f>
        <v>48.1</v>
      </c>
      <c r="H425" s="2" t="str">
        <f aca="false">IF(G425&gt;=65,"HIGH",IF(G425&gt;=50,"MEDIUM","LOW"))</f>
        <v>LOW</v>
      </c>
    </row>
    <row r="426" customFormat="false" ht="15" hidden="false" customHeight="false" outlineLevel="0" collapsed="false">
      <c r="A426" s="2" t="str">
        <f aca="false">Person_Data!A426</f>
        <v>AO12830</v>
      </c>
      <c r="B426" s="2" t="str">
        <f aca="false">Person_Data!C426</f>
        <v>Major</v>
      </c>
      <c r="C426" s="5" t="n">
        <f aca="false">Person_Data!D426</f>
        <v>14.22</v>
      </c>
      <c r="D426" s="2" t="n">
        <f aca="false">INDEX(Rank_Rules!$B$2:$B$9,MATCH(B426,Rank_Rules!$A$2:$A$9,0))</f>
        <v>12</v>
      </c>
      <c r="E426" s="2" t="n">
        <f aca="false">INDEX(Rank_Rules!$C$2:$C$9,MATCH(B426,Rank_Rules!$A$2:$A$9,0))</f>
        <v>15</v>
      </c>
      <c r="F426" s="2" t="str">
        <f aca="false">IF(AND(C426&gt;=D426,C426&lt;=E426),"OK","MISMATCH")</f>
        <v>OK</v>
      </c>
      <c r="G426" s="6" t="n">
        <f aca="false">Person_Data!H426</f>
        <v>57.4</v>
      </c>
      <c r="H426" s="2" t="str">
        <f aca="false">IF(G426&gt;=65,"HIGH",IF(G426&gt;=50,"MEDIUM","LOW"))</f>
        <v>MEDIUM</v>
      </c>
    </row>
    <row r="427" customFormat="false" ht="15" hidden="false" customHeight="false" outlineLevel="0" collapsed="false">
      <c r="A427" s="2" t="str">
        <f aca="false">Person_Data!A427</f>
        <v>AO22617</v>
      </c>
      <c r="B427" s="2" t="str">
        <f aca="false">Person_Data!C427</f>
        <v>Senior Lieutenant</v>
      </c>
      <c r="C427" s="5" t="n">
        <f aca="false">Person_Data!D427</f>
        <v>4.05</v>
      </c>
      <c r="D427" s="2" t="n">
        <f aca="false">INDEX(Rank_Rules!$B$2:$B$9,MATCH(B427,Rank_Rules!$A$2:$A$9,0))</f>
        <v>4</v>
      </c>
      <c r="E427" s="2" t="n">
        <f aca="false">INDEX(Rank_Rules!$C$2:$C$9,MATCH(B427,Rank_Rules!$A$2:$A$9,0))</f>
        <v>6</v>
      </c>
      <c r="F427" s="2" t="str">
        <f aca="false">IF(AND(C427&gt;=D427,C427&lt;=E427),"OK","MISMATCH")</f>
        <v>OK</v>
      </c>
      <c r="G427" s="6" t="n">
        <f aca="false">Person_Data!H427</f>
        <v>27</v>
      </c>
      <c r="H427" s="2" t="str">
        <f aca="false">IF(G427&gt;=65,"HIGH",IF(G427&gt;=50,"MEDIUM","LOW"))</f>
        <v>LOW</v>
      </c>
    </row>
    <row r="428" customFormat="false" ht="15" hidden="false" customHeight="false" outlineLevel="0" collapsed="false">
      <c r="A428" s="2" t="str">
        <f aca="false">Person_Data!A428</f>
        <v>AO25183</v>
      </c>
      <c r="B428" s="2" t="str">
        <f aca="false">Person_Data!C428</f>
        <v>Lieutenant</v>
      </c>
      <c r="C428" s="5" t="n">
        <f aca="false">Person_Data!D428</f>
        <v>1.19</v>
      </c>
      <c r="D428" s="2" t="n">
        <f aca="false">INDEX(Rank_Rules!$B$2:$B$9,MATCH(B428,Rank_Rules!$A$2:$A$9,0))</f>
        <v>1</v>
      </c>
      <c r="E428" s="2" t="n">
        <f aca="false">INDEX(Rank_Rules!$C$2:$C$9,MATCH(B428,Rank_Rules!$A$2:$A$9,0))</f>
        <v>3</v>
      </c>
      <c r="F428" s="2" t="str">
        <f aca="false">IF(AND(C428&gt;=D428,C428&lt;=E428),"OK","MISMATCH")</f>
        <v>OK</v>
      </c>
      <c r="G428" s="6" t="n">
        <f aca="false">Person_Data!H428</f>
        <v>39.4</v>
      </c>
      <c r="H428" s="2" t="str">
        <f aca="false">IF(G428&gt;=65,"HIGH",IF(G428&gt;=50,"MEDIUM","LOW"))</f>
        <v>LOW</v>
      </c>
    </row>
    <row r="429" customFormat="false" ht="15" hidden="false" customHeight="false" outlineLevel="0" collapsed="false">
      <c r="A429" s="2" t="str">
        <f aca="false">Person_Data!A429</f>
        <v>AO21436</v>
      </c>
      <c r="B429" s="2" t="str">
        <f aca="false">Person_Data!C429</f>
        <v>Senior Lieutenant</v>
      </c>
      <c r="C429" s="5" t="n">
        <f aca="false">Person_Data!D429</f>
        <v>5.2</v>
      </c>
      <c r="D429" s="2" t="n">
        <f aca="false">INDEX(Rank_Rules!$B$2:$B$9,MATCH(B429,Rank_Rules!$A$2:$A$9,0))</f>
        <v>4</v>
      </c>
      <c r="E429" s="2" t="n">
        <f aca="false">INDEX(Rank_Rules!$C$2:$C$9,MATCH(B429,Rank_Rules!$A$2:$A$9,0))</f>
        <v>6</v>
      </c>
      <c r="F429" s="2" t="str">
        <f aca="false">IF(AND(C429&gt;=D429,C429&lt;=E429),"OK","MISMATCH")</f>
        <v>OK</v>
      </c>
      <c r="G429" s="6" t="n">
        <f aca="false">Person_Data!H429</f>
        <v>59.9</v>
      </c>
      <c r="H429" s="2" t="str">
        <f aca="false">IF(G429&gt;=65,"HIGH",IF(G429&gt;=50,"MEDIUM","LOW"))</f>
        <v>MEDIUM</v>
      </c>
    </row>
    <row r="430" customFormat="false" ht="15" hidden="false" customHeight="false" outlineLevel="0" collapsed="false">
      <c r="A430" s="2" t="str">
        <f aca="false">Person_Data!A430</f>
        <v>AO23681</v>
      </c>
      <c r="B430" s="2" t="str">
        <f aca="false">Person_Data!C430</f>
        <v>Lieutenant</v>
      </c>
      <c r="C430" s="5" t="n">
        <f aca="false">Person_Data!D430</f>
        <v>2.95</v>
      </c>
      <c r="D430" s="2" t="n">
        <f aca="false">INDEX(Rank_Rules!$B$2:$B$9,MATCH(B430,Rank_Rules!$A$2:$A$9,0))</f>
        <v>1</v>
      </c>
      <c r="E430" s="2" t="n">
        <f aca="false">INDEX(Rank_Rules!$C$2:$C$9,MATCH(B430,Rank_Rules!$A$2:$A$9,0))</f>
        <v>3</v>
      </c>
      <c r="F430" s="2" t="str">
        <f aca="false">IF(AND(C430&gt;=D430,C430&lt;=E430),"OK","MISMATCH")</f>
        <v>OK</v>
      </c>
      <c r="G430" s="6" t="n">
        <f aca="false">Person_Data!H430</f>
        <v>21.5</v>
      </c>
      <c r="H430" s="2" t="str">
        <f aca="false">IF(G430&gt;=65,"HIGH",IF(G430&gt;=50,"MEDIUM","LOW"))</f>
        <v>LOW</v>
      </c>
    </row>
    <row r="431" customFormat="false" ht="15" hidden="false" customHeight="false" outlineLevel="0" collapsed="false">
      <c r="A431" s="2" t="str">
        <f aca="false">Person_Data!A431</f>
        <v>AO25376</v>
      </c>
      <c r="B431" s="2" t="str">
        <f aca="false">Person_Data!C431</f>
        <v>Lieutenant</v>
      </c>
      <c r="C431" s="5" t="n">
        <f aca="false">Person_Data!D431</f>
        <v>1.25</v>
      </c>
      <c r="D431" s="2" t="n">
        <f aca="false">INDEX(Rank_Rules!$B$2:$B$9,MATCH(B431,Rank_Rules!$A$2:$A$9,0))</f>
        <v>1</v>
      </c>
      <c r="E431" s="2" t="n">
        <f aca="false">INDEX(Rank_Rules!$C$2:$C$9,MATCH(B431,Rank_Rules!$A$2:$A$9,0))</f>
        <v>3</v>
      </c>
      <c r="F431" s="2" t="str">
        <f aca="false">IF(AND(C431&gt;=D431,C431&lt;=E431),"OK","MISMATCH")</f>
        <v>OK</v>
      </c>
      <c r="G431" s="6" t="n">
        <f aca="false">Person_Data!H431</f>
        <v>53.3</v>
      </c>
      <c r="H431" s="2" t="str">
        <f aca="false">IF(G431&gt;=65,"HIGH",IF(G431&gt;=50,"MEDIUM","LOW"))</f>
        <v>MEDIUM</v>
      </c>
    </row>
    <row r="432" customFormat="false" ht="15" hidden="false" customHeight="false" outlineLevel="0" collapsed="false">
      <c r="A432" s="2" t="str">
        <f aca="false">Person_Data!A432</f>
        <v>AO22093</v>
      </c>
      <c r="B432" s="2" t="str">
        <f aca="false">Person_Data!C432</f>
        <v>Senior Lieutenant</v>
      </c>
      <c r="C432" s="5" t="n">
        <f aca="false">Person_Data!D432</f>
        <v>4.16</v>
      </c>
      <c r="D432" s="2" t="n">
        <f aca="false">INDEX(Rank_Rules!$B$2:$B$9,MATCH(B432,Rank_Rules!$A$2:$A$9,0))</f>
        <v>4</v>
      </c>
      <c r="E432" s="2" t="n">
        <f aca="false">INDEX(Rank_Rules!$C$2:$C$9,MATCH(B432,Rank_Rules!$A$2:$A$9,0))</f>
        <v>6</v>
      </c>
      <c r="F432" s="2" t="str">
        <f aca="false">IF(AND(C432&gt;=D432,C432&lt;=E432),"OK","MISMATCH")</f>
        <v>OK</v>
      </c>
      <c r="G432" s="6" t="n">
        <f aca="false">Person_Data!H432</f>
        <v>37.2</v>
      </c>
      <c r="H432" s="2" t="str">
        <f aca="false">IF(G432&gt;=65,"HIGH",IF(G432&gt;=50,"MEDIUM","LOW"))</f>
        <v>LOW</v>
      </c>
    </row>
    <row r="433" customFormat="false" ht="15" hidden="false" customHeight="false" outlineLevel="0" collapsed="false">
      <c r="A433" s="2" t="str">
        <f aca="false">Person_Data!A433</f>
        <v>AO23780</v>
      </c>
      <c r="B433" s="2" t="str">
        <f aca="false">Person_Data!C433</f>
        <v>Lieutenant</v>
      </c>
      <c r="C433" s="5" t="n">
        <f aca="false">Person_Data!D433</f>
        <v>2.52</v>
      </c>
      <c r="D433" s="2" t="n">
        <f aca="false">INDEX(Rank_Rules!$B$2:$B$9,MATCH(B433,Rank_Rules!$A$2:$A$9,0))</f>
        <v>1</v>
      </c>
      <c r="E433" s="2" t="n">
        <f aca="false">INDEX(Rank_Rules!$C$2:$C$9,MATCH(B433,Rank_Rules!$A$2:$A$9,0))</f>
        <v>3</v>
      </c>
      <c r="F433" s="2" t="str">
        <f aca="false">IF(AND(C433&gt;=D433,C433&lt;=E433),"OK","MISMATCH")</f>
        <v>OK</v>
      </c>
      <c r="G433" s="6" t="n">
        <f aca="false">Person_Data!H433</f>
        <v>58.5</v>
      </c>
      <c r="H433" s="2" t="str">
        <f aca="false">IF(G433&gt;=65,"HIGH",IF(G433&gt;=50,"MEDIUM","LOW"))</f>
        <v>MEDIUM</v>
      </c>
    </row>
    <row r="434" customFormat="false" ht="15" hidden="false" customHeight="false" outlineLevel="0" collapsed="false">
      <c r="A434" s="2" t="str">
        <f aca="false">Person_Data!A434</f>
        <v>AO14671</v>
      </c>
      <c r="B434" s="2" t="str">
        <f aca="false">Person_Data!C434</f>
        <v>Major</v>
      </c>
      <c r="C434" s="5" t="n">
        <f aca="false">Person_Data!D434</f>
        <v>12.24</v>
      </c>
      <c r="D434" s="2" t="n">
        <f aca="false">INDEX(Rank_Rules!$B$2:$B$9,MATCH(B434,Rank_Rules!$A$2:$A$9,0))</f>
        <v>12</v>
      </c>
      <c r="E434" s="2" t="n">
        <f aca="false">INDEX(Rank_Rules!$C$2:$C$9,MATCH(B434,Rank_Rules!$A$2:$A$9,0))</f>
        <v>15</v>
      </c>
      <c r="F434" s="2" t="str">
        <f aca="false">IF(AND(C434&gt;=D434,C434&lt;=E434),"OK","MISMATCH")</f>
        <v>OK</v>
      </c>
      <c r="G434" s="6" t="n">
        <f aca="false">Person_Data!H434</f>
        <v>47.4</v>
      </c>
      <c r="H434" s="2" t="str">
        <f aca="false">IF(G434&gt;=65,"HIGH",IF(G434&gt;=50,"MEDIUM","LOW"))</f>
        <v>LOW</v>
      </c>
    </row>
    <row r="435" customFormat="false" ht="15" hidden="false" customHeight="false" outlineLevel="0" collapsed="false">
      <c r="A435" s="2" t="str">
        <f aca="false">Person_Data!A435</f>
        <v>AO11537</v>
      </c>
      <c r="B435" s="2" t="str">
        <f aca="false">Person_Data!C435</f>
        <v>Major</v>
      </c>
      <c r="C435" s="5" t="n">
        <f aca="false">Person_Data!D435</f>
        <v>14.61</v>
      </c>
      <c r="D435" s="2" t="n">
        <f aca="false">INDEX(Rank_Rules!$B$2:$B$9,MATCH(B435,Rank_Rules!$A$2:$A$9,0))</f>
        <v>12</v>
      </c>
      <c r="E435" s="2" t="n">
        <f aca="false">INDEX(Rank_Rules!$C$2:$C$9,MATCH(B435,Rank_Rules!$A$2:$A$9,0))</f>
        <v>15</v>
      </c>
      <c r="F435" s="2" t="str">
        <f aca="false">IF(AND(C435&gt;=D435,C435&lt;=E435),"OK","MISMATCH")</f>
        <v>OK</v>
      </c>
      <c r="G435" s="6" t="n">
        <f aca="false">Person_Data!H435</f>
        <v>38.3</v>
      </c>
      <c r="H435" s="2" t="str">
        <f aca="false">IF(G435&gt;=65,"HIGH",IF(G435&gt;=50,"MEDIUM","LOW"))</f>
        <v>LOW</v>
      </c>
    </row>
    <row r="436" customFormat="false" ht="15" hidden="false" customHeight="false" outlineLevel="0" collapsed="false">
      <c r="A436" s="2" t="str">
        <f aca="false">Person_Data!A436</f>
        <v>AO12140</v>
      </c>
      <c r="B436" s="2" t="str">
        <f aca="false">Person_Data!C436</f>
        <v>Major</v>
      </c>
      <c r="C436" s="5" t="n">
        <f aca="false">Person_Data!D436</f>
        <v>13.97</v>
      </c>
      <c r="D436" s="2" t="n">
        <f aca="false">INDEX(Rank_Rules!$B$2:$B$9,MATCH(B436,Rank_Rules!$A$2:$A$9,0))</f>
        <v>12</v>
      </c>
      <c r="E436" s="2" t="n">
        <f aca="false">INDEX(Rank_Rules!$C$2:$C$9,MATCH(B436,Rank_Rules!$A$2:$A$9,0))</f>
        <v>15</v>
      </c>
      <c r="F436" s="2" t="str">
        <f aca="false">IF(AND(C436&gt;=D436,C436&lt;=E436),"OK","MISMATCH")</f>
        <v>OK</v>
      </c>
      <c r="G436" s="6" t="n">
        <f aca="false">Person_Data!H436</f>
        <v>65.2</v>
      </c>
      <c r="H436" s="2" t="str">
        <f aca="false">IF(G436&gt;=65,"HIGH",IF(G436&gt;=50,"MEDIUM","LOW"))</f>
        <v>HIGH</v>
      </c>
    </row>
    <row r="437" customFormat="false" ht="15" hidden="false" customHeight="false" outlineLevel="0" collapsed="false">
      <c r="A437" s="2" t="str">
        <f aca="false">Person_Data!A437</f>
        <v>AO20080</v>
      </c>
      <c r="B437" s="2" t="str">
        <f aca="false">Person_Data!C437</f>
        <v>Senior Lieutenant</v>
      </c>
      <c r="C437" s="5" t="n">
        <f aca="false">Person_Data!D437</f>
        <v>5.86</v>
      </c>
      <c r="D437" s="2" t="n">
        <f aca="false">INDEX(Rank_Rules!$B$2:$B$9,MATCH(B437,Rank_Rules!$A$2:$A$9,0))</f>
        <v>4</v>
      </c>
      <c r="E437" s="2" t="n">
        <f aca="false">INDEX(Rank_Rules!$C$2:$C$9,MATCH(B437,Rank_Rules!$A$2:$A$9,0))</f>
        <v>6</v>
      </c>
      <c r="F437" s="2" t="str">
        <f aca="false">IF(AND(C437&gt;=D437,C437&lt;=E437),"OK","MISMATCH")</f>
        <v>OK</v>
      </c>
      <c r="G437" s="6" t="n">
        <f aca="false">Person_Data!H437</f>
        <v>18.5</v>
      </c>
      <c r="H437" s="2" t="str">
        <f aca="false">IF(G437&gt;=65,"HIGH",IF(G437&gt;=50,"MEDIUM","LOW"))</f>
        <v>LOW</v>
      </c>
    </row>
    <row r="438" customFormat="false" ht="15" hidden="false" customHeight="false" outlineLevel="0" collapsed="false">
      <c r="A438" s="2" t="str">
        <f aca="false">Person_Data!A438</f>
        <v>AO19031</v>
      </c>
      <c r="B438" s="2" t="str">
        <f aca="false">Person_Data!C438</f>
        <v>Captain</v>
      </c>
      <c r="C438" s="5" t="n">
        <f aca="false">Person_Data!D438</f>
        <v>7.37</v>
      </c>
      <c r="D438" s="2" t="n">
        <f aca="false">INDEX(Rank_Rules!$B$2:$B$9,MATCH(B438,Rank_Rules!$A$2:$A$9,0))</f>
        <v>7</v>
      </c>
      <c r="E438" s="2" t="n">
        <f aca="false">INDEX(Rank_Rules!$C$2:$C$9,MATCH(B438,Rank_Rules!$A$2:$A$9,0))</f>
        <v>11</v>
      </c>
      <c r="F438" s="2" t="str">
        <f aca="false">IF(AND(C438&gt;=D438,C438&lt;=E438),"OK","MISMATCH")</f>
        <v>OK</v>
      </c>
      <c r="G438" s="6" t="n">
        <f aca="false">Person_Data!H438</f>
        <v>33.1</v>
      </c>
      <c r="H438" s="2" t="str">
        <f aca="false">IF(G438&gt;=65,"HIGH",IF(G438&gt;=50,"MEDIUM","LOW"))</f>
        <v>LOW</v>
      </c>
    </row>
    <row r="439" customFormat="false" ht="15" hidden="false" customHeight="false" outlineLevel="0" collapsed="false">
      <c r="A439" s="2" t="str">
        <f aca="false">Person_Data!A439</f>
        <v>AO18862</v>
      </c>
      <c r="B439" s="2" t="str">
        <f aca="false">Person_Data!C439</f>
        <v>Captain</v>
      </c>
      <c r="C439" s="5" t="n">
        <f aca="false">Person_Data!D439</f>
        <v>7.55</v>
      </c>
      <c r="D439" s="2" t="n">
        <f aca="false">INDEX(Rank_Rules!$B$2:$B$9,MATCH(B439,Rank_Rules!$A$2:$A$9,0))</f>
        <v>7</v>
      </c>
      <c r="E439" s="2" t="n">
        <f aca="false">INDEX(Rank_Rules!$C$2:$C$9,MATCH(B439,Rank_Rules!$A$2:$A$9,0))</f>
        <v>11</v>
      </c>
      <c r="F439" s="2" t="str">
        <f aca="false">IF(AND(C439&gt;=D439,C439&lt;=E439),"OK","MISMATCH")</f>
        <v>OK</v>
      </c>
      <c r="G439" s="6" t="n">
        <f aca="false">Person_Data!H439</f>
        <v>29.8</v>
      </c>
      <c r="H439" s="2" t="str">
        <f aca="false">IF(G439&gt;=65,"HIGH",IF(G439&gt;=50,"MEDIUM","LOW"))</f>
        <v>LOW</v>
      </c>
    </row>
    <row r="440" customFormat="false" ht="15" hidden="false" customHeight="false" outlineLevel="0" collapsed="false">
      <c r="A440" s="2" t="str">
        <f aca="false">Person_Data!A440</f>
        <v>AO14110</v>
      </c>
      <c r="B440" s="2" t="str">
        <f aca="false">Person_Data!C440</f>
        <v>Major</v>
      </c>
      <c r="C440" s="5" t="n">
        <f aca="false">Person_Data!D440</f>
        <v>12.01</v>
      </c>
      <c r="D440" s="2" t="n">
        <f aca="false">INDEX(Rank_Rules!$B$2:$B$9,MATCH(B440,Rank_Rules!$A$2:$A$9,0))</f>
        <v>12</v>
      </c>
      <c r="E440" s="2" t="n">
        <f aca="false">INDEX(Rank_Rules!$C$2:$C$9,MATCH(B440,Rank_Rules!$A$2:$A$9,0))</f>
        <v>15</v>
      </c>
      <c r="F440" s="2" t="str">
        <f aca="false">IF(AND(C440&gt;=D440,C440&lt;=E440),"OK","MISMATCH")</f>
        <v>OK</v>
      </c>
      <c r="G440" s="6" t="n">
        <f aca="false">Person_Data!H440</f>
        <v>50.9</v>
      </c>
      <c r="H440" s="2" t="str">
        <f aca="false">IF(G440&gt;=65,"HIGH",IF(G440&gt;=50,"MEDIUM","LOW"))</f>
        <v>MEDIUM</v>
      </c>
    </row>
    <row r="441" customFormat="false" ht="15" hidden="false" customHeight="false" outlineLevel="0" collapsed="false">
      <c r="A441" s="2" t="str">
        <f aca="false">Person_Data!A441</f>
        <v>AO23445</v>
      </c>
      <c r="B441" s="2" t="str">
        <f aca="false">Person_Data!C441</f>
        <v>Lieutenant</v>
      </c>
      <c r="C441" s="5" t="n">
        <f aca="false">Person_Data!D441</f>
        <v>2.62</v>
      </c>
      <c r="D441" s="2" t="n">
        <f aca="false">INDEX(Rank_Rules!$B$2:$B$9,MATCH(B441,Rank_Rules!$A$2:$A$9,0))</f>
        <v>1</v>
      </c>
      <c r="E441" s="2" t="n">
        <f aca="false">INDEX(Rank_Rules!$C$2:$C$9,MATCH(B441,Rank_Rules!$A$2:$A$9,0))</f>
        <v>3</v>
      </c>
      <c r="F441" s="2" t="str">
        <f aca="false">IF(AND(C441&gt;=D441,C441&lt;=E441),"OK","MISMATCH")</f>
        <v>OK</v>
      </c>
      <c r="G441" s="6" t="n">
        <f aca="false">Person_Data!H441</f>
        <v>45.7</v>
      </c>
      <c r="H441" s="2" t="str">
        <f aca="false">IF(G441&gt;=65,"HIGH",IF(G441&gt;=50,"MEDIUM","LOW"))</f>
        <v>LOW</v>
      </c>
    </row>
    <row r="442" customFormat="false" ht="15" hidden="false" customHeight="false" outlineLevel="0" collapsed="false">
      <c r="A442" s="2" t="str">
        <f aca="false">Person_Data!A442</f>
        <v>AO25358</v>
      </c>
      <c r="B442" s="2" t="str">
        <f aca="false">Person_Data!C442</f>
        <v>Lieutenant</v>
      </c>
      <c r="C442" s="5" t="n">
        <f aca="false">Person_Data!D442</f>
        <v>1.32</v>
      </c>
      <c r="D442" s="2" t="n">
        <f aca="false">INDEX(Rank_Rules!$B$2:$B$9,MATCH(B442,Rank_Rules!$A$2:$A$9,0))</f>
        <v>1</v>
      </c>
      <c r="E442" s="2" t="n">
        <f aca="false">INDEX(Rank_Rules!$C$2:$C$9,MATCH(B442,Rank_Rules!$A$2:$A$9,0))</f>
        <v>3</v>
      </c>
      <c r="F442" s="2" t="str">
        <f aca="false">IF(AND(C442&gt;=D442,C442&lt;=E442),"OK","MISMATCH")</f>
        <v>OK</v>
      </c>
      <c r="G442" s="6" t="n">
        <f aca="false">Person_Data!H442</f>
        <v>46.1</v>
      </c>
      <c r="H442" s="2" t="str">
        <f aca="false">IF(G442&gt;=65,"HIGH",IF(G442&gt;=50,"MEDIUM","LOW"))</f>
        <v>LOW</v>
      </c>
    </row>
    <row r="443" customFormat="false" ht="15" hidden="false" customHeight="false" outlineLevel="0" collapsed="false">
      <c r="A443" s="2" t="str">
        <f aca="false">Person_Data!A443</f>
        <v>AO13818</v>
      </c>
      <c r="B443" s="2" t="str">
        <f aca="false">Person_Data!C443</f>
        <v>Major</v>
      </c>
      <c r="C443" s="5" t="n">
        <f aca="false">Person_Data!D443</f>
        <v>12.74</v>
      </c>
      <c r="D443" s="2" t="n">
        <f aca="false">INDEX(Rank_Rules!$B$2:$B$9,MATCH(B443,Rank_Rules!$A$2:$A$9,0))</f>
        <v>12</v>
      </c>
      <c r="E443" s="2" t="n">
        <f aca="false">INDEX(Rank_Rules!$C$2:$C$9,MATCH(B443,Rank_Rules!$A$2:$A$9,0))</f>
        <v>15</v>
      </c>
      <c r="F443" s="2" t="str">
        <f aca="false">IF(AND(C443&gt;=D443,C443&lt;=E443),"OK","MISMATCH")</f>
        <v>OK</v>
      </c>
      <c r="G443" s="6" t="n">
        <f aca="false">Person_Data!H443</f>
        <v>46.4</v>
      </c>
      <c r="H443" s="2" t="str">
        <f aca="false">IF(G443&gt;=65,"HIGH",IF(G443&gt;=50,"MEDIUM","LOW"))</f>
        <v>LOW</v>
      </c>
    </row>
    <row r="444" customFormat="false" ht="15" hidden="false" customHeight="false" outlineLevel="0" collapsed="false">
      <c r="A444" s="2" t="str">
        <f aca="false">Person_Data!A444</f>
        <v>AO23508</v>
      </c>
      <c r="B444" s="2" t="str">
        <f aca="false">Person_Data!C444</f>
        <v>Lieutenant</v>
      </c>
      <c r="C444" s="5" t="n">
        <f aca="false">Person_Data!D444</f>
        <v>2.84</v>
      </c>
      <c r="D444" s="2" t="n">
        <f aca="false">INDEX(Rank_Rules!$B$2:$B$9,MATCH(B444,Rank_Rules!$A$2:$A$9,0))</f>
        <v>1</v>
      </c>
      <c r="E444" s="2" t="n">
        <f aca="false">INDEX(Rank_Rules!$C$2:$C$9,MATCH(B444,Rank_Rules!$A$2:$A$9,0))</f>
        <v>3</v>
      </c>
      <c r="F444" s="2" t="str">
        <f aca="false">IF(AND(C444&gt;=D444,C444&lt;=E444),"OK","MISMATCH")</f>
        <v>OK</v>
      </c>
      <c r="G444" s="6" t="n">
        <f aca="false">Person_Data!H444</f>
        <v>45.3</v>
      </c>
      <c r="H444" s="2" t="str">
        <f aca="false">IF(G444&gt;=65,"HIGH",IF(G444&gt;=50,"MEDIUM","LOW"))</f>
        <v>LOW</v>
      </c>
    </row>
    <row r="445" customFormat="false" ht="15" hidden="false" customHeight="false" outlineLevel="0" collapsed="false">
      <c r="A445" s="2" t="str">
        <f aca="false">Person_Data!A445</f>
        <v>AO23410</v>
      </c>
      <c r="B445" s="2" t="str">
        <f aca="false">Person_Data!C445</f>
        <v>Lieutenant</v>
      </c>
      <c r="C445" s="5" t="n">
        <f aca="false">Person_Data!D445</f>
        <v>2.62</v>
      </c>
      <c r="D445" s="2" t="n">
        <f aca="false">INDEX(Rank_Rules!$B$2:$B$9,MATCH(B445,Rank_Rules!$A$2:$A$9,0))</f>
        <v>1</v>
      </c>
      <c r="E445" s="2" t="n">
        <f aca="false">INDEX(Rank_Rules!$C$2:$C$9,MATCH(B445,Rank_Rules!$A$2:$A$9,0))</f>
        <v>3</v>
      </c>
      <c r="F445" s="2" t="str">
        <f aca="false">IF(AND(C445&gt;=D445,C445&lt;=E445),"OK","MISMATCH")</f>
        <v>OK</v>
      </c>
      <c r="G445" s="6" t="n">
        <f aca="false">Person_Data!H445</f>
        <v>44.9</v>
      </c>
      <c r="H445" s="2" t="str">
        <f aca="false">IF(G445&gt;=65,"HIGH",IF(G445&gt;=50,"MEDIUM","LOW"))</f>
        <v>LOW</v>
      </c>
    </row>
    <row r="446" customFormat="false" ht="15" hidden="false" customHeight="false" outlineLevel="0" collapsed="false">
      <c r="A446" s="2" t="str">
        <f aca="false">Person_Data!A446</f>
        <v>AO18024</v>
      </c>
      <c r="B446" s="2" t="str">
        <f aca="false">Person_Data!C446</f>
        <v>Captain</v>
      </c>
      <c r="C446" s="5" t="n">
        <f aca="false">Person_Data!D446</f>
        <v>7.51</v>
      </c>
      <c r="D446" s="2" t="n">
        <f aca="false">INDEX(Rank_Rules!$B$2:$B$9,MATCH(B446,Rank_Rules!$A$2:$A$9,0))</f>
        <v>7</v>
      </c>
      <c r="E446" s="2" t="n">
        <f aca="false">INDEX(Rank_Rules!$C$2:$C$9,MATCH(B446,Rank_Rules!$A$2:$A$9,0))</f>
        <v>11</v>
      </c>
      <c r="F446" s="2" t="str">
        <f aca="false">IF(AND(C446&gt;=D446,C446&lt;=E446),"OK","MISMATCH")</f>
        <v>OK</v>
      </c>
      <c r="G446" s="6" t="n">
        <f aca="false">Person_Data!H446</f>
        <v>46.1</v>
      </c>
      <c r="H446" s="2" t="str">
        <f aca="false">IF(G446&gt;=65,"HIGH",IF(G446&gt;=50,"MEDIUM","LOW"))</f>
        <v>LOW</v>
      </c>
    </row>
    <row r="447" customFormat="false" ht="15" hidden="false" customHeight="false" outlineLevel="0" collapsed="false">
      <c r="A447" s="2" t="str">
        <f aca="false">Person_Data!A447</f>
        <v>AO16212</v>
      </c>
      <c r="B447" s="2" t="str">
        <f aca="false">Person_Data!C447</f>
        <v>Captain</v>
      </c>
      <c r="C447" s="5" t="n">
        <f aca="false">Person_Data!D447</f>
        <v>9.73</v>
      </c>
      <c r="D447" s="2" t="n">
        <f aca="false">INDEX(Rank_Rules!$B$2:$B$9,MATCH(B447,Rank_Rules!$A$2:$A$9,0))</f>
        <v>7</v>
      </c>
      <c r="E447" s="2" t="n">
        <f aca="false">INDEX(Rank_Rules!$C$2:$C$9,MATCH(B447,Rank_Rules!$A$2:$A$9,0))</f>
        <v>11</v>
      </c>
      <c r="F447" s="2" t="str">
        <f aca="false">IF(AND(C447&gt;=D447,C447&lt;=E447),"OK","MISMATCH")</f>
        <v>OK</v>
      </c>
      <c r="G447" s="6" t="n">
        <f aca="false">Person_Data!H447</f>
        <v>45.4</v>
      </c>
      <c r="H447" s="2" t="str">
        <f aca="false">IF(G447&gt;=65,"HIGH",IF(G447&gt;=50,"MEDIUM","LOW"))</f>
        <v>LOW</v>
      </c>
    </row>
    <row r="448" customFormat="false" ht="15" hidden="false" customHeight="false" outlineLevel="0" collapsed="false">
      <c r="A448" s="2" t="str">
        <f aca="false">Person_Data!A448</f>
        <v>AO21707</v>
      </c>
      <c r="B448" s="2" t="str">
        <f aca="false">Person_Data!C448</f>
        <v>Senior Lieutenant</v>
      </c>
      <c r="C448" s="5" t="n">
        <f aca="false">Person_Data!D448</f>
        <v>5.36</v>
      </c>
      <c r="D448" s="2" t="n">
        <f aca="false">INDEX(Rank_Rules!$B$2:$B$9,MATCH(B448,Rank_Rules!$A$2:$A$9,0))</f>
        <v>4</v>
      </c>
      <c r="E448" s="2" t="n">
        <f aca="false">INDEX(Rank_Rules!$C$2:$C$9,MATCH(B448,Rank_Rules!$A$2:$A$9,0))</f>
        <v>6</v>
      </c>
      <c r="F448" s="2" t="str">
        <f aca="false">IF(AND(C448&gt;=D448,C448&lt;=E448),"OK","MISMATCH")</f>
        <v>OK</v>
      </c>
      <c r="G448" s="6" t="n">
        <f aca="false">Person_Data!H448</f>
        <v>73.7</v>
      </c>
      <c r="H448" s="2" t="str">
        <f aca="false">IF(G448&gt;=65,"HIGH",IF(G448&gt;=50,"MEDIUM","LOW"))</f>
        <v>HIGH</v>
      </c>
    </row>
    <row r="449" customFormat="false" ht="15" hidden="false" customHeight="false" outlineLevel="0" collapsed="false">
      <c r="A449" s="2" t="str">
        <f aca="false">Person_Data!A449</f>
        <v>AO21034</v>
      </c>
      <c r="B449" s="2" t="str">
        <f aca="false">Person_Data!C449</f>
        <v>Senior Lieutenant</v>
      </c>
      <c r="C449" s="5" t="n">
        <f aca="false">Person_Data!D449</f>
        <v>5.46</v>
      </c>
      <c r="D449" s="2" t="n">
        <f aca="false">INDEX(Rank_Rules!$B$2:$B$9,MATCH(B449,Rank_Rules!$A$2:$A$9,0))</f>
        <v>4</v>
      </c>
      <c r="E449" s="2" t="n">
        <f aca="false">INDEX(Rank_Rules!$C$2:$C$9,MATCH(B449,Rank_Rules!$A$2:$A$9,0))</f>
        <v>6</v>
      </c>
      <c r="F449" s="2" t="str">
        <f aca="false">IF(AND(C449&gt;=D449,C449&lt;=E449),"OK","MISMATCH")</f>
        <v>OK</v>
      </c>
      <c r="G449" s="6" t="n">
        <f aca="false">Person_Data!H449</f>
        <v>61.2</v>
      </c>
      <c r="H449" s="2" t="str">
        <f aca="false">IF(G449&gt;=65,"HIGH",IF(G449&gt;=50,"MEDIUM","LOW"))</f>
        <v>MEDIUM</v>
      </c>
    </row>
    <row r="450" customFormat="false" ht="15" hidden="false" customHeight="false" outlineLevel="0" collapsed="false">
      <c r="A450" s="2" t="str">
        <f aca="false">Person_Data!A450</f>
        <v>AO22645</v>
      </c>
      <c r="B450" s="2" t="str">
        <f aca="false">Person_Data!C450</f>
        <v>Senior Lieutenant</v>
      </c>
      <c r="C450" s="5" t="n">
        <f aca="false">Person_Data!D450</f>
        <v>4.48</v>
      </c>
      <c r="D450" s="2" t="n">
        <f aca="false">INDEX(Rank_Rules!$B$2:$B$9,MATCH(B450,Rank_Rules!$A$2:$A$9,0))</f>
        <v>4</v>
      </c>
      <c r="E450" s="2" t="n">
        <f aca="false">INDEX(Rank_Rules!$C$2:$C$9,MATCH(B450,Rank_Rules!$A$2:$A$9,0))</f>
        <v>6</v>
      </c>
      <c r="F450" s="2" t="str">
        <f aca="false">IF(AND(C450&gt;=D450,C450&lt;=E450),"OK","MISMATCH")</f>
        <v>OK</v>
      </c>
      <c r="G450" s="6" t="n">
        <f aca="false">Person_Data!H450</f>
        <v>61.4</v>
      </c>
      <c r="H450" s="2" t="str">
        <f aca="false">IF(G450&gt;=65,"HIGH",IF(G450&gt;=50,"MEDIUM","LOW"))</f>
        <v>MEDIUM</v>
      </c>
    </row>
    <row r="451" customFormat="false" ht="15" hidden="false" customHeight="false" outlineLevel="0" collapsed="false">
      <c r="A451" s="2" t="str">
        <f aca="false">Person_Data!A451</f>
        <v>AO21263</v>
      </c>
      <c r="B451" s="2" t="str">
        <f aca="false">Person_Data!C451</f>
        <v>Senior Lieutenant</v>
      </c>
      <c r="C451" s="5" t="n">
        <f aca="false">Person_Data!D451</f>
        <v>4.78</v>
      </c>
      <c r="D451" s="2" t="n">
        <f aca="false">INDEX(Rank_Rules!$B$2:$B$9,MATCH(B451,Rank_Rules!$A$2:$A$9,0))</f>
        <v>4</v>
      </c>
      <c r="E451" s="2" t="n">
        <f aca="false">INDEX(Rank_Rules!$C$2:$C$9,MATCH(B451,Rank_Rules!$A$2:$A$9,0))</f>
        <v>6</v>
      </c>
      <c r="F451" s="2" t="str">
        <f aca="false">IF(AND(C451&gt;=D451,C451&lt;=E451),"OK","MISMATCH")</f>
        <v>OK</v>
      </c>
      <c r="G451" s="6" t="n">
        <f aca="false">Person_Data!H451</f>
        <v>41.7</v>
      </c>
      <c r="H451" s="2" t="str">
        <f aca="false">IF(G451&gt;=65,"HIGH",IF(G451&gt;=50,"MEDIUM","LOW"))</f>
        <v>LOW</v>
      </c>
    </row>
    <row r="452" customFormat="false" ht="15" hidden="false" customHeight="false" outlineLevel="0" collapsed="false">
      <c r="A452" s="2" t="str">
        <f aca="false">Person_Data!A452</f>
        <v>AO25112</v>
      </c>
      <c r="B452" s="2" t="str">
        <f aca="false">Person_Data!C452</f>
        <v>Lieutenant</v>
      </c>
      <c r="C452" s="5" t="n">
        <f aca="false">Person_Data!D452</f>
        <v>1.27</v>
      </c>
      <c r="D452" s="2" t="n">
        <f aca="false">INDEX(Rank_Rules!$B$2:$B$9,MATCH(B452,Rank_Rules!$A$2:$A$9,0))</f>
        <v>1</v>
      </c>
      <c r="E452" s="2" t="n">
        <f aca="false">INDEX(Rank_Rules!$C$2:$C$9,MATCH(B452,Rank_Rules!$A$2:$A$9,0))</f>
        <v>3</v>
      </c>
      <c r="F452" s="2" t="str">
        <f aca="false">IF(AND(C452&gt;=D452,C452&lt;=E452),"OK","MISMATCH")</f>
        <v>OK</v>
      </c>
      <c r="G452" s="6" t="n">
        <f aca="false">Person_Data!H452</f>
        <v>29.1</v>
      </c>
      <c r="H452" s="2" t="str">
        <f aca="false">IF(G452&gt;=65,"HIGH",IF(G452&gt;=50,"MEDIUM","LOW"))</f>
        <v>LOW</v>
      </c>
    </row>
    <row r="453" customFormat="false" ht="15" hidden="false" customHeight="false" outlineLevel="0" collapsed="false">
      <c r="A453" s="2" t="str">
        <f aca="false">Person_Data!A453</f>
        <v>AO21878</v>
      </c>
      <c r="B453" s="2" t="str">
        <f aca="false">Person_Data!C453</f>
        <v>Senior Lieutenant</v>
      </c>
      <c r="C453" s="5" t="n">
        <f aca="false">Person_Data!D453</f>
        <v>5.16</v>
      </c>
      <c r="D453" s="2" t="n">
        <f aca="false">INDEX(Rank_Rules!$B$2:$B$9,MATCH(B453,Rank_Rules!$A$2:$A$9,0))</f>
        <v>4</v>
      </c>
      <c r="E453" s="2" t="n">
        <f aca="false">INDEX(Rank_Rules!$C$2:$C$9,MATCH(B453,Rank_Rules!$A$2:$A$9,0))</f>
        <v>6</v>
      </c>
      <c r="F453" s="2" t="str">
        <f aca="false">IF(AND(C453&gt;=D453,C453&lt;=E453),"OK","MISMATCH")</f>
        <v>OK</v>
      </c>
      <c r="G453" s="6" t="n">
        <f aca="false">Person_Data!H453</f>
        <v>74.4</v>
      </c>
      <c r="H453" s="2" t="str">
        <f aca="false">IF(G453&gt;=65,"HIGH",IF(G453&gt;=50,"MEDIUM","LOW"))</f>
        <v>HIGH</v>
      </c>
    </row>
    <row r="454" customFormat="false" ht="15" hidden="false" customHeight="false" outlineLevel="0" collapsed="false">
      <c r="A454" s="2" t="str">
        <f aca="false">Person_Data!A454</f>
        <v>AO20873</v>
      </c>
      <c r="B454" s="2" t="str">
        <f aca="false">Person_Data!C454</f>
        <v>Senior Lieutenant</v>
      </c>
      <c r="C454" s="5" t="n">
        <f aca="false">Person_Data!D454</f>
        <v>5.78</v>
      </c>
      <c r="D454" s="2" t="n">
        <f aca="false">INDEX(Rank_Rules!$B$2:$B$9,MATCH(B454,Rank_Rules!$A$2:$A$9,0))</f>
        <v>4</v>
      </c>
      <c r="E454" s="2" t="n">
        <f aca="false">INDEX(Rank_Rules!$C$2:$C$9,MATCH(B454,Rank_Rules!$A$2:$A$9,0))</f>
        <v>6</v>
      </c>
      <c r="F454" s="2" t="str">
        <f aca="false">IF(AND(C454&gt;=D454,C454&lt;=E454),"OK","MISMATCH")</f>
        <v>OK</v>
      </c>
      <c r="G454" s="6" t="n">
        <f aca="false">Person_Data!H454</f>
        <v>48.2</v>
      </c>
      <c r="H454" s="2" t="str">
        <f aca="false">IF(G454&gt;=65,"HIGH",IF(G454&gt;=50,"MEDIUM","LOW"))</f>
        <v>LOW</v>
      </c>
    </row>
    <row r="455" customFormat="false" ht="15" hidden="false" customHeight="false" outlineLevel="0" collapsed="false">
      <c r="A455" s="2" t="str">
        <f aca="false">Person_Data!A455</f>
        <v>AO24366</v>
      </c>
      <c r="B455" s="2" t="str">
        <f aca="false">Person_Data!C455</f>
        <v>Lieutenant</v>
      </c>
      <c r="C455" s="5" t="n">
        <f aca="false">Person_Data!D455</f>
        <v>2.21</v>
      </c>
      <c r="D455" s="2" t="n">
        <f aca="false">INDEX(Rank_Rules!$B$2:$B$9,MATCH(B455,Rank_Rules!$A$2:$A$9,0))</f>
        <v>1</v>
      </c>
      <c r="E455" s="2" t="n">
        <f aca="false">INDEX(Rank_Rules!$C$2:$C$9,MATCH(B455,Rank_Rules!$A$2:$A$9,0))</f>
        <v>3</v>
      </c>
      <c r="F455" s="2" t="str">
        <f aca="false">IF(AND(C455&gt;=D455,C455&lt;=E455),"OK","MISMATCH")</f>
        <v>OK</v>
      </c>
      <c r="G455" s="6" t="n">
        <f aca="false">Person_Data!H455</f>
        <v>16</v>
      </c>
      <c r="H455" s="2" t="str">
        <f aca="false">IF(G455&gt;=65,"HIGH",IF(G455&gt;=50,"MEDIUM","LOW"))</f>
        <v>LOW</v>
      </c>
    </row>
    <row r="456" customFormat="false" ht="15" hidden="false" customHeight="false" outlineLevel="0" collapsed="false">
      <c r="A456" s="2" t="str">
        <f aca="false">Person_Data!A456</f>
        <v>AO24140</v>
      </c>
      <c r="B456" s="2" t="str">
        <f aca="false">Person_Data!C456</f>
        <v>Lieutenant</v>
      </c>
      <c r="C456" s="5" t="n">
        <f aca="false">Person_Data!D456</f>
        <v>2.18</v>
      </c>
      <c r="D456" s="2" t="n">
        <f aca="false">INDEX(Rank_Rules!$B$2:$B$9,MATCH(B456,Rank_Rules!$A$2:$A$9,0))</f>
        <v>1</v>
      </c>
      <c r="E456" s="2" t="n">
        <f aca="false">INDEX(Rank_Rules!$C$2:$C$9,MATCH(B456,Rank_Rules!$A$2:$A$9,0))</f>
        <v>3</v>
      </c>
      <c r="F456" s="2" t="str">
        <f aca="false">IF(AND(C456&gt;=D456,C456&lt;=E456),"OK","MISMATCH")</f>
        <v>OK</v>
      </c>
      <c r="G456" s="6" t="n">
        <f aca="false">Person_Data!H456</f>
        <v>24.6</v>
      </c>
      <c r="H456" s="2" t="str">
        <f aca="false">IF(G456&gt;=65,"HIGH",IF(G456&gt;=50,"MEDIUM","LOW"))</f>
        <v>LOW</v>
      </c>
    </row>
    <row r="457" customFormat="false" ht="15" hidden="false" customHeight="false" outlineLevel="0" collapsed="false">
      <c r="A457" s="2" t="str">
        <f aca="false">Person_Data!A457</f>
        <v>AO17508</v>
      </c>
      <c r="B457" s="2" t="str">
        <f aca="false">Person_Data!C457</f>
        <v>Captain</v>
      </c>
      <c r="C457" s="5" t="n">
        <f aca="false">Person_Data!D457</f>
        <v>9.31</v>
      </c>
      <c r="D457" s="2" t="n">
        <f aca="false">INDEX(Rank_Rules!$B$2:$B$9,MATCH(B457,Rank_Rules!$A$2:$A$9,0))</f>
        <v>7</v>
      </c>
      <c r="E457" s="2" t="n">
        <f aca="false">INDEX(Rank_Rules!$C$2:$C$9,MATCH(B457,Rank_Rules!$A$2:$A$9,0))</f>
        <v>11</v>
      </c>
      <c r="F457" s="2" t="str">
        <f aca="false">IF(AND(C457&gt;=D457,C457&lt;=E457),"OK","MISMATCH")</f>
        <v>OK</v>
      </c>
      <c r="G457" s="6" t="n">
        <f aca="false">Person_Data!H457</f>
        <v>47.1</v>
      </c>
      <c r="H457" s="2" t="str">
        <f aca="false">IF(G457&gt;=65,"HIGH",IF(G457&gt;=50,"MEDIUM","LOW"))</f>
        <v>LOW</v>
      </c>
    </row>
    <row r="458" customFormat="false" ht="15" hidden="false" customHeight="false" outlineLevel="0" collapsed="false">
      <c r="A458" s="2" t="str">
        <f aca="false">Person_Data!A458</f>
        <v>AO20321</v>
      </c>
      <c r="B458" s="2" t="str">
        <f aca="false">Person_Data!C458</f>
        <v>Senior Lieutenant</v>
      </c>
      <c r="C458" s="5" t="n">
        <f aca="false">Person_Data!D458</f>
        <v>5.93</v>
      </c>
      <c r="D458" s="2" t="n">
        <f aca="false">INDEX(Rank_Rules!$B$2:$B$9,MATCH(B458,Rank_Rules!$A$2:$A$9,0))</f>
        <v>4</v>
      </c>
      <c r="E458" s="2" t="n">
        <f aca="false">INDEX(Rank_Rules!$C$2:$C$9,MATCH(B458,Rank_Rules!$A$2:$A$9,0))</f>
        <v>6</v>
      </c>
      <c r="F458" s="2" t="str">
        <f aca="false">IF(AND(C458&gt;=D458,C458&lt;=E458),"OK","MISMATCH")</f>
        <v>OK</v>
      </c>
      <c r="G458" s="6" t="n">
        <f aca="false">Person_Data!H458</f>
        <v>69.3</v>
      </c>
      <c r="H458" s="2" t="str">
        <f aca="false">IF(G458&gt;=65,"HIGH",IF(G458&gt;=50,"MEDIUM","LOW"))</f>
        <v>HIGH</v>
      </c>
    </row>
    <row r="459" customFormat="false" ht="15" hidden="false" customHeight="false" outlineLevel="0" collapsed="false">
      <c r="A459" s="2" t="str">
        <f aca="false">Person_Data!A459</f>
        <v>AO18793</v>
      </c>
      <c r="B459" s="2" t="str">
        <f aca="false">Person_Data!C459</f>
        <v>Captain</v>
      </c>
      <c r="C459" s="5" t="n">
        <f aca="false">Person_Data!D459</f>
        <v>7.92</v>
      </c>
      <c r="D459" s="2" t="n">
        <f aca="false">INDEX(Rank_Rules!$B$2:$B$9,MATCH(B459,Rank_Rules!$A$2:$A$9,0))</f>
        <v>7</v>
      </c>
      <c r="E459" s="2" t="n">
        <f aca="false">INDEX(Rank_Rules!$C$2:$C$9,MATCH(B459,Rank_Rules!$A$2:$A$9,0))</f>
        <v>11</v>
      </c>
      <c r="F459" s="2" t="str">
        <f aca="false">IF(AND(C459&gt;=D459,C459&lt;=E459),"OK","MISMATCH")</f>
        <v>OK</v>
      </c>
      <c r="G459" s="6" t="n">
        <f aca="false">Person_Data!H459</f>
        <v>38.8</v>
      </c>
      <c r="H459" s="2" t="str">
        <f aca="false">IF(G459&gt;=65,"HIGH",IF(G459&gt;=50,"MEDIUM","LOW"))</f>
        <v>LOW</v>
      </c>
    </row>
    <row r="460" customFormat="false" ht="15" hidden="false" customHeight="false" outlineLevel="0" collapsed="false">
      <c r="A460" s="2" t="str">
        <f aca="false">Person_Data!A460</f>
        <v>AO25165</v>
      </c>
      <c r="B460" s="2" t="str">
        <f aca="false">Person_Data!C460</f>
        <v>Lieutenant</v>
      </c>
      <c r="C460" s="5" t="n">
        <f aca="false">Person_Data!D460</f>
        <v>1.14</v>
      </c>
      <c r="D460" s="2" t="n">
        <f aca="false">INDEX(Rank_Rules!$B$2:$B$9,MATCH(B460,Rank_Rules!$A$2:$A$9,0))</f>
        <v>1</v>
      </c>
      <c r="E460" s="2" t="n">
        <f aca="false">INDEX(Rank_Rules!$C$2:$C$9,MATCH(B460,Rank_Rules!$A$2:$A$9,0))</f>
        <v>3</v>
      </c>
      <c r="F460" s="2" t="str">
        <f aca="false">IF(AND(C460&gt;=D460,C460&lt;=E460),"OK","MISMATCH")</f>
        <v>OK</v>
      </c>
      <c r="G460" s="6" t="n">
        <f aca="false">Person_Data!H460</f>
        <v>57.5</v>
      </c>
      <c r="H460" s="2" t="str">
        <f aca="false">IF(G460&gt;=65,"HIGH",IF(G460&gt;=50,"MEDIUM","LOW"))</f>
        <v>MEDIUM</v>
      </c>
    </row>
    <row r="461" customFormat="false" ht="15" hidden="false" customHeight="false" outlineLevel="0" collapsed="false">
      <c r="A461" s="2" t="str">
        <f aca="false">Person_Data!A461</f>
        <v>AO13943</v>
      </c>
      <c r="B461" s="2" t="str">
        <f aca="false">Person_Data!C461</f>
        <v>Major</v>
      </c>
      <c r="C461" s="5" t="n">
        <f aca="false">Person_Data!D461</f>
        <v>12.83</v>
      </c>
      <c r="D461" s="2" t="n">
        <f aca="false">INDEX(Rank_Rules!$B$2:$B$9,MATCH(B461,Rank_Rules!$A$2:$A$9,0))</f>
        <v>12</v>
      </c>
      <c r="E461" s="2" t="n">
        <f aca="false">INDEX(Rank_Rules!$C$2:$C$9,MATCH(B461,Rank_Rules!$A$2:$A$9,0))</f>
        <v>15</v>
      </c>
      <c r="F461" s="2" t="str">
        <f aca="false">IF(AND(C461&gt;=D461,C461&lt;=E461),"OK","MISMATCH")</f>
        <v>OK</v>
      </c>
      <c r="G461" s="6" t="n">
        <f aca="false">Person_Data!H461</f>
        <v>62.3</v>
      </c>
      <c r="H461" s="2" t="str">
        <f aca="false">IF(G461&gt;=65,"HIGH",IF(G461&gt;=50,"MEDIUM","LOW"))</f>
        <v>MEDIUM</v>
      </c>
    </row>
    <row r="462" customFormat="false" ht="15" hidden="false" customHeight="false" outlineLevel="0" collapsed="false">
      <c r="A462" s="2" t="str">
        <f aca="false">Person_Data!A462</f>
        <v>AO25541</v>
      </c>
      <c r="B462" s="2" t="str">
        <f aca="false">Person_Data!C462</f>
        <v>Lieutenant</v>
      </c>
      <c r="C462" s="5" t="n">
        <f aca="false">Person_Data!D462</f>
        <v>1.42</v>
      </c>
      <c r="D462" s="2" t="n">
        <f aca="false">INDEX(Rank_Rules!$B$2:$B$9,MATCH(B462,Rank_Rules!$A$2:$A$9,0))</f>
        <v>1</v>
      </c>
      <c r="E462" s="2" t="n">
        <f aca="false">INDEX(Rank_Rules!$C$2:$C$9,MATCH(B462,Rank_Rules!$A$2:$A$9,0))</f>
        <v>3</v>
      </c>
      <c r="F462" s="2" t="str">
        <f aca="false">IF(AND(C462&gt;=D462,C462&lt;=E462),"OK","MISMATCH")</f>
        <v>OK</v>
      </c>
      <c r="G462" s="6" t="n">
        <f aca="false">Person_Data!H462</f>
        <v>66.3</v>
      </c>
      <c r="H462" s="2" t="str">
        <f aca="false">IF(G462&gt;=65,"HIGH",IF(G462&gt;=50,"MEDIUM","LOW"))</f>
        <v>HIGH</v>
      </c>
    </row>
    <row r="463" customFormat="false" ht="15" hidden="false" customHeight="false" outlineLevel="0" collapsed="false">
      <c r="A463" s="2" t="str">
        <f aca="false">Person_Data!A463</f>
        <v>AO17098</v>
      </c>
      <c r="B463" s="2" t="str">
        <f aca="false">Person_Data!C463</f>
        <v>Captain</v>
      </c>
      <c r="C463" s="5" t="n">
        <f aca="false">Person_Data!D463</f>
        <v>8.65</v>
      </c>
      <c r="D463" s="2" t="n">
        <f aca="false">INDEX(Rank_Rules!$B$2:$B$9,MATCH(B463,Rank_Rules!$A$2:$A$9,0))</f>
        <v>7</v>
      </c>
      <c r="E463" s="2" t="n">
        <f aca="false">INDEX(Rank_Rules!$C$2:$C$9,MATCH(B463,Rank_Rules!$A$2:$A$9,0))</f>
        <v>11</v>
      </c>
      <c r="F463" s="2" t="str">
        <f aca="false">IF(AND(C463&gt;=D463,C463&lt;=E463),"OK","MISMATCH")</f>
        <v>OK</v>
      </c>
      <c r="G463" s="6" t="n">
        <f aca="false">Person_Data!H463</f>
        <v>48.8</v>
      </c>
      <c r="H463" s="2" t="str">
        <f aca="false">IF(G463&gt;=65,"HIGH",IF(G463&gt;=50,"MEDIUM","LOW"))</f>
        <v>LOW</v>
      </c>
    </row>
    <row r="464" customFormat="false" ht="15" hidden="false" customHeight="false" outlineLevel="0" collapsed="false">
      <c r="A464" s="2" t="str">
        <f aca="false">Person_Data!A464</f>
        <v>AO22788</v>
      </c>
      <c r="B464" s="2" t="str">
        <f aca="false">Person_Data!C464</f>
        <v>Senior Lieutenant</v>
      </c>
      <c r="C464" s="5" t="n">
        <f aca="false">Person_Data!D464</f>
        <v>4.29</v>
      </c>
      <c r="D464" s="2" t="n">
        <f aca="false">INDEX(Rank_Rules!$B$2:$B$9,MATCH(B464,Rank_Rules!$A$2:$A$9,0))</f>
        <v>4</v>
      </c>
      <c r="E464" s="2" t="n">
        <f aca="false">INDEX(Rank_Rules!$C$2:$C$9,MATCH(B464,Rank_Rules!$A$2:$A$9,0))</f>
        <v>6</v>
      </c>
      <c r="F464" s="2" t="str">
        <f aca="false">IF(AND(C464&gt;=D464,C464&lt;=E464),"OK","MISMATCH")</f>
        <v>OK</v>
      </c>
      <c r="G464" s="6" t="n">
        <f aca="false">Person_Data!H464</f>
        <v>50</v>
      </c>
      <c r="H464" s="2" t="str">
        <f aca="false">IF(G464&gt;=65,"HIGH",IF(G464&gt;=50,"MEDIUM","LOW"))</f>
        <v>MEDIUM</v>
      </c>
    </row>
    <row r="465" customFormat="false" ht="15" hidden="false" customHeight="false" outlineLevel="0" collapsed="false">
      <c r="A465" s="2" t="str">
        <f aca="false">Person_Data!A465</f>
        <v>AO24582</v>
      </c>
      <c r="B465" s="2" t="str">
        <f aca="false">Person_Data!C465</f>
        <v>Lieutenant</v>
      </c>
      <c r="C465" s="5" t="n">
        <f aca="false">Person_Data!D465</f>
        <v>1.74</v>
      </c>
      <c r="D465" s="2" t="n">
        <f aca="false">INDEX(Rank_Rules!$B$2:$B$9,MATCH(B465,Rank_Rules!$A$2:$A$9,0))</f>
        <v>1</v>
      </c>
      <c r="E465" s="2" t="n">
        <f aca="false">INDEX(Rank_Rules!$C$2:$C$9,MATCH(B465,Rank_Rules!$A$2:$A$9,0))</f>
        <v>3</v>
      </c>
      <c r="F465" s="2" t="str">
        <f aca="false">IF(AND(C465&gt;=D465,C465&lt;=E465),"OK","MISMATCH")</f>
        <v>OK</v>
      </c>
      <c r="G465" s="6" t="n">
        <f aca="false">Person_Data!H465</f>
        <v>40.6</v>
      </c>
      <c r="H465" s="2" t="str">
        <f aca="false">IF(G465&gt;=65,"HIGH",IF(G465&gt;=50,"MEDIUM","LOW"))</f>
        <v>LOW</v>
      </c>
    </row>
    <row r="466" customFormat="false" ht="15" hidden="false" customHeight="false" outlineLevel="0" collapsed="false">
      <c r="A466" s="2" t="str">
        <f aca="false">Person_Data!A466</f>
        <v>AO21338</v>
      </c>
      <c r="B466" s="2" t="str">
        <f aca="false">Person_Data!C466</f>
        <v>Senior Lieutenant</v>
      </c>
      <c r="C466" s="5" t="n">
        <f aca="false">Person_Data!D466</f>
        <v>5.04</v>
      </c>
      <c r="D466" s="2" t="n">
        <f aca="false">INDEX(Rank_Rules!$B$2:$B$9,MATCH(B466,Rank_Rules!$A$2:$A$9,0))</f>
        <v>4</v>
      </c>
      <c r="E466" s="2" t="n">
        <f aca="false">INDEX(Rank_Rules!$C$2:$C$9,MATCH(B466,Rank_Rules!$A$2:$A$9,0))</f>
        <v>6</v>
      </c>
      <c r="F466" s="2" t="str">
        <f aca="false">IF(AND(C466&gt;=D466,C466&lt;=E466),"OK","MISMATCH")</f>
        <v>OK</v>
      </c>
      <c r="G466" s="6" t="n">
        <f aca="false">Person_Data!H466</f>
        <v>40.2</v>
      </c>
      <c r="H466" s="2" t="str">
        <f aca="false">IF(G466&gt;=65,"HIGH",IF(G466&gt;=50,"MEDIUM","LOW"))</f>
        <v>LOW</v>
      </c>
    </row>
    <row r="467" customFormat="false" ht="15" hidden="false" customHeight="false" outlineLevel="0" collapsed="false">
      <c r="A467" s="2" t="str">
        <f aca="false">Person_Data!A467</f>
        <v>G21228</v>
      </c>
      <c r="B467" s="2" t="str">
        <f aca="false">Person_Data!C467</f>
        <v>Warrant Officer</v>
      </c>
      <c r="C467" s="5" t="n">
        <f aca="false">Person_Data!D467</f>
        <v>4.72</v>
      </c>
      <c r="D467" s="2" t="n">
        <f aca="false">INDEX(Rank_Rules!$B$2:$B$9,MATCH(B467,Rank_Rules!$A$2:$A$9,0))</f>
        <v>3</v>
      </c>
      <c r="E467" s="2" t="n">
        <f aca="false">INDEX(Rank_Rules!$C$2:$C$9,MATCH(B467,Rank_Rules!$A$2:$A$9,0))</f>
        <v>5</v>
      </c>
      <c r="F467" s="2" t="str">
        <f aca="false">IF(AND(C467&gt;=D467,C467&lt;=E467),"OK","MISMATCH")</f>
        <v>OK</v>
      </c>
      <c r="G467" s="6" t="n">
        <f aca="false">Person_Data!H467</f>
        <v>40.5</v>
      </c>
      <c r="H467" s="2" t="str">
        <f aca="false">IF(G467&gt;=65,"HIGH",IF(G467&gt;=50,"MEDIUM","LOW"))</f>
        <v>LOW</v>
      </c>
    </row>
    <row r="468" customFormat="false" ht="15" hidden="false" customHeight="false" outlineLevel="0" collapsed="false">
      <c r="A468" s="2" t="str">
        <f aca="false">Person_Data!A468</f>
        <v>G23248</v>
      </c>
      <c r="B468" s="2" t="str">
        <f aca="false">Person_Data!C468</f>
        <v>Warrant Officer</v>
      </c>
      <c r="C468" s="5" t="n">
        <f aca="false">Person_Data!D468</f>
        <v>3.38</v>
      </c>
      <c r="D468" s="2" t="n">
        <f aca="false">INDEX(Rank_Rules!$B$2:$B$9,MATCH(B468,Rank_Rules!$A$2:$A$9,0))</f>
        <v>3</v>
      </c>
      <c r="E468" s="2" t="n">
        <f aca="false">INDEX(Rank_Rules!$C$2:$C$9,MATCH(B468,Rank_Rules!$A$2:$A$9,0))</f>
        <v>5</v>
      </c>
      <c r="F468" s="2" t="str">
        <f aca="false">IF(AND(C468&gt;=D468,C468&lt;=E468),"OK","MISMATCH")</f>
        <v>OK</v>
      </c>
      <c r="G468" s="6" t="n">
        <f aca="false">Person_Data!H468</f>
        <v>51.7</v>
      </c>
      <c r="H468" s="2" t="str">
        <f aca="false">IF(G468&gt;=65,"HIGH",IF(G468&gt;=50,"MEDIUM","LOW"))</f>
        <v>MEDIUM</v>
      </c>
    </row>
    <row r="469" customFormat="false" ht="15" hidden="false" customHeight="false" outlineLevel="0" collapsed="false">
      <c r="A469" s="2" t="str">
        <f aca="false">Person_Data!A469</f>
        <v>G17472</v>
      </c>
      <c r="B469" s="2" t="str">
        <f aca="false">Person_Data!C469</f>
        <v>Senior Warrant Officer</v>
      </c>
      <c r="C469" s="5" t="n">
        <f aca="false">Person_Data!D469</f>
        <v>8.64</v>
      </c>
      <c r="D469" s="2" t="n">
        <f aca="false">INDEX(Rank_Rules!$B$2:$B$9,MATCH(B469,Rank_Rules!$A$2:$A$9,0))</f>
        <v>5</v>
      </c>
      <c r="E469" s="2" t="n">
        <f aca="false">INDEX(Rank_Rules!$C$2:$C$9,MATCH(B469,Rank_Rules!$A$2:$A$9,0))</f>
        <v>20</v>
      </c>
      <c r="F469" s="2" t="str">
        <f aca="false">IF(AND(C469&gt;=D469,C469&lt;=E469),"OK","MISMATCH")</f>
        <v>OK</v>
      </c>
      <c r="G469" s="6" t="n">
        <f aca="false">Person_Data!H469</f>
        <v>73.3</v>
      </c>
      <c r="H469" s="2" t="str">
        <f aca="false">IF(G469&gt;=65,"HIGH",IF(G469&gt;=50,"MEDIUM","LOW"))</f>
        <v>HIGH</v>
      </c>
    </row>
    <row r="470" customFormat="false" ht="15" hidden="false" customHeight="false" outlineLevel="0" collapsed="false">
      <c r="A470" s="2" t="str">
        <f aca="false">Person_Data!A470</f>
        <v>G25334</v>
      </c>
      <c r="B470" s="2" t="str">
        <f aca="false">Person_Data!C470</f>
        <v>Junior Warrant Officer</v>
      </c>
      <c r="C470" s="5" t="n">
        <f aca="false">Person_Data!D470</f>
        <v>1.1</v>
      </c>
      <c r="D470" s="2" t="n">
        <f aca="false">INDEX(Rank_Rules!$B$2:$B$9,MATCH(B470,Rank_Rules!$A$2:$A$9,0))</f>
        <v>1</v>
      </c>
      <c r="E470" s="2" t="n">
        <f aca="false">INDEX(Rank_Rules!$C$2:$C$9,MATCH(B470,Rank_Rules!$A$2:$A$9,0))</f>
        <v>3</v>
      </c>
      <c r="F470" s="2" t="str">
        <f aca="false">IF(AND(C470&gt;=D470,C470&lt;=E470),"OK","MISMATCH")</f>
        <v>OK</v>
      </c>
      <c r="G470" s="6" t="n">
        <f aca="false">Person_Data!H470</f>
        <v>37.6</v>
      </c>
      <c r="H470" s="2" t="str">
        <f aca="false">IF(G470&gt;=65,"HIGH",IF(G470&gt;=50,"MEDIUM","LOW"))</f>
        <v>LOW</v>
      </c>
    </row>
    <row r="471" customFormat="false" ht="15" hidden="false" customHeight="false" outlineLevel="0" collapsed="false">
      <c r="A471" s="2" t="str">
        <f aca="false">Person_Data!A471</f>
        <v>G23853</v>
      </c>
      <c r="B471" s="2" t="str">
        <f aca="false">Person_Data!C471</f>
        <v>Warrant Officer</v>
      </c>
      <c r="C471" s="5" t="n">
        <f aca="false">Person_Data!D471</f>
        <v>3.12</v>
      </c>
      <c r="D471" s="2" t="n">
        <f aca="false">INDEX(Rank_Rules!$B$2:$B$9,MATCH(B471,Rank_Rules!$A$2:$A$9,0))</f>
        <v>3</v>
      </c>
      <c r="E471" s="2" t="n">
        <f aca="false">INDEX(Rank_Rules!$C$2:$C$9,MATCH(B471,Rank_Rules!$A$2:$A$9,0))</f>
        <v>5</v>
      </c>
      <c r="F471" s="2" t="str">
        <f aca="false">IF(AND(C471&gt;=D471,C471&lt;=E471),"OK","MISMATCH")</f>
        <v>OK</v>
      </c>
      <c r="G471" s="6" t="n">
        <f aca="false">Person_Data!H471</f>
        <v>43.9</v>
      </c>
      <c r="H471" s="2" t="str">
        <f aca="false">IF(G471&gt;=65,"HIGH",IF(G471&gt;=50,"MEDIUM","LOW"))</f>
        <v>LOW</v>
      </c>
    </row>
    <row r="472" customFormat="false" ht="15" hidden="false" customHeight="false" outlineLevel="0" collapsed="false">
      <c r="A472" s="2" t="str">
        <f aca="false">Person_Data!A472</f>
        <v>G24918</v>
      </c>
      <c r="B472" s="2" t="str">
        <f aca="false">Person_Data!C472</f>
        <v>Junior Warrant Officer</v>
      </c>
      <c r="C472" s="5" t="n">
        <f aca="false">Person_Data!D472</f>
        <v>1.92</v>
      </c>
      <c r="D472" s="2" t="n">
        <f aca="false">INDEX(Rank_Rules!$B$2:$B$9,MATCH(B472,Rank_Rules!$A$2:$A$9,0))</f>
        <v>1</v>
      </c>
      <c r="E472" s="2" t="n">
        <f aca="false">INDEX(Rank_Rules!$C$2:$C$9,MATCH(B472,Rank_Rules!$A$2:$A$9,0))</f>
        <v>3</v>
      </c>
      <c r="F472" s="2" t="str">
        <f aca="false">IF(AND(C472&gt;=D472,C472&lt;=E472),"OK","MISMATCH")</f>
        <v>OK</v>
      </c>
      <c r="G472" s="6" t="n">
        <f aca="false">Person_Data!H472</f>
        <v>42.6</v>
      </c>
      <c r="H472" s="2" t="str">
        <f aca="false">IF(G472&gt;=65,"HIGH",IF(G472&gt;=50,"MEDIUM","LOW"))</f>
        <v>LOW</v>
      </c>
    </row>
    <row r="473" customFormat="false" ht="15" hidden="false" customHeight="false" outlineLevel="0" collapsed="false">
      <c r="A473" s="2" t="str">
        <f aca="false">Person_Data!A473</f>
        <v>G21956</v>
      </c>
      <c r="B473" s="2" t="str">
        <f aca="false">Person_Data!C473</f>
        <v>Warrant Officer</v>
      </c>
      <c r="C473" s="5" t="n">
        <f aca="false">Person_Data!D473</f>
        <v>4.76</v>
      </c>
      <c r="D473" s="2" t="n">
        <f aca="false">INDEX(Rank_Rules!$B$2:$B$9,MATCH(B473,Rank_Rules!$A$2:$A$9,0))</f>
        <v>3</v>
      </c>
      <c r="E473" s="2" t="n">
        <f aca="false">INDEX(Rank_Rules!$C$2:$C$9,MATCH(B473,Rank_Rules!$A$2:$A$9,0))</f>
        <v>5</v>
      </c>
      <c r="F473" s="2" t="str">
        <f aca="false">IF(AND(C473&gt;=D473,C473&lt;=E473),"OK","MISMATCH")</f>
        <v>OK</v>
      </c>
      <c r="G473" s="6" t="n">
        <f aca="false">Person_Data!H473</f>
        <v>77.8</v>
      </c>
      <c r="H473" s="2" t="str">
        <f aca="false">IF(G473&gt;=65,"HIGH",IF(G473&gt;=50,"MEDIUM","LOW"))</f>
        <v>HIGH</v>
      </c>
    </row>
    <row r="474" customFormat="false" ht="15" hidden="false" customHeight="false" outlineLevel="0" collapsed="false">
      <c r="A474" s="2" t="str">
        <f aca="false">Person_Data!A474</f>
        <v>G24754</v>
      </c>
      <c r="B474" s="2" t="str">
        <f aca="false">Person_Data!C474</f>
        <v>Junior Warrant Officer</v>
      </c>
      <c r="C474" s="5" t="n">
        <f aca="false">Person_Data!D474</f>
        <v>1.85</v>
      </c>
      <c r="D474" s="2" t="n">
        <f aca="false">INDEX(Rank_Rules!$B$2:$B$9,MATCH(B474,Rank_Rules!$A$2:$A$9,0))</f>
        <v>1</v>
      </c>
      <c r="E474" s="2" t="n">
        <f aca="false">INDEX(Rank_Rules!$C$2:$C$9,MATCH(B474,Rank_Rules!$A$2:$A$9,0))</f>
        <v>3</v>
      </c>
      <c r="F474" s="2" t="str">
        <f aca="false">IF(AND(C474&gt;=D474,C474&lt;=E474),"OK","MISMATCH")</f>
        <v>OK</v>
      </c>
      <c r="G474" s="6" t="n">
        <f aca="false">Person_Data!H474</f>
        <v>49.4</v>
      </c>
      <c r="H474" s="2" t="str">
        <f aca="false">IF(G474&gt;=65,"HIGH",IF(G474&gt;=50,"MEDIUM","LOW"))</f>
        <v>LOW</v>
      </c>
    </row>
    <row r="475" customFormat="false" ht="15" hidden="false" customHeight="false" outlineLevel="0" collapsed="false">
      <c r="A475" s="2" t="str">
        <f aca="false">Person_Data!A475</f>
        <v>G13596</v>
      </c>
      <c r="B475" s="2" t="str">
        <f aca="false">Person_Data!C475</f>
        <v>Senior Warrant Officer</v>
      </c>
      <c r="C475" s="5" t="n">
        <f aca="false">Person_Data!D475</f>
        <v>12.94</v>
      </c>
      <c r="D475" s="2" t="n">
        <f aca="false">INDEX(Rank_Rules!$B$2:$B$9,MATCH(B475,Rank_Rules!$A$2:$A$9,0))</f>
        <v>5</v>
      </c>
      <c r="E475" s="2" t="n">
        <f aca="false">INDEX(Rank_Rules!$C$2:$C$9,MATCH(B475,Rank_Rules!$A$2:$A$9,0))</f>
        <v>20</v>
      </c>
      <c r="F475" s="2" t="str">
        <f aca="false">IF(AND(C475&gt;=D475,C475&lt;=E475),"OK","MISMATCH")</f>
        <v>OK</v>
      </c>
      <c r="G475" s="6" t="n">
        <f aca="false">Person_Data!H475</f>
        <v>43.2</v>
      </c>
      <c r="H475" s="2" t="str">
        <f aca="false">IF(G475&gt;=65,"HIGH",IF(G475&gt;=50,"MEDIUM","LOW"))</f>
        <v>LOW</v>
      </c>
    </row>
    <row r="476" customFormat="false" ht="15" hidden="false" customHeight="false" outlineLevel="0" collapsed="false">
      <c r="A476" s="2" t="str">
        <f aca="false">Person_Data!A476</f>
        <v>G22667</v>
      </c>
      <c r="B476" s="2" t="str">
        <f aca="false">Person_Data!C476</f>
        <v>Warrant Officer</v>
      </c>
      <c r="C476" s="5" t="n">
        <f aca="false">Person_Data!D476</f>
        <v>4.29</v>
      </c>
      <c r="D476" s="2" t="n">
        <f aca="false">INDEX(Rank_Rules!$B$2:$B$9,MATCH(B476,Rank_Rules!$A$2:$A$9,0))</f>
        <v>3</v>
      </c>
      <c r="E476" s="2" t="n">
        <f aca="false">INDEX(Rank_Rules!$C$2:$C$9,MATCH(B476,Rank_Rules!$A$2:$A$9,0))</f>
        <v>5</v>
      </c>
      <c r="F476" s="2" t="str">
        <f aca="false">IF(AND(C476&gt;=D476,C476&lt;=E476),"OK","MISMATCH")</f>
        <v>OK</v>
      </c>
      <c r="G476" s="6" t="n">
        <f aca="false">Person_Data!H476</f>
        <v>52.3</v>
      </c>
      <c r="H476" s="2" t="str">
        <f aca="false">IF(G476&gt;=65,"HIGH",IF(G476&gt;=50,"MEDIUM","LOW"))</f>
        <v>MEDIUM</v>
      </c>
    </row>
    <row r="477" customFormat="false" ht="15" hidden="false" customHeight="false" outlineLevel="0" collapsed="false">
      <c r="A477" s="2" t="str">
        <f aca="false">Person_Data!A477</f>
        <v>G22398</v>
      </c>
      <c r="B477" s="2" t="str">
        <f aca="false">Person_Data!C477</f>
        <v>Warrant Officer</v>
      </c>
      <c r="C477" s="5" t="n">
        <f aca="false">Person_Data!D477</f>
        <v>3.55</v>
      </c>
      <c r="D477" s="2" t="n">
        <f aca="false">INDEX(Rank_Rules!$B$2:$B$9,MATCH(B477,Rank_Rules!$A$2:$A$9,0))</f>
        <v>3</v>
      </c>
      <c r="E477" s="2" t="n">
        <f aca="false">INDEX(Rank_Rules!$C$2:$C$9,MATCH(B477,Rank_Rules!$A$2:$A$9,0))</f>
        <v>5</v>
      </c>
      <c r="F477" s="2" t="str">
        <f aca="false">IF(AND(C477&gt;=D477,C477&lt;=E477),"OK","MISMATCH")</f>
        <v>OK</v>
      </c>
      <c r="G477" s="6" t="n">
        <f aca="false">Person_Data!H477</f>
        <v>18.3</v>
      </c>
      <c r="H477" s="2" t="str">
        <f aca="false">IF(G477&gt;=65,"HIGH",IF(G477&gt;=50,"MEDIUM","LOW"))</f>
        <v>LOW</v>
      </c>
    </row>
    <row r="478" customFormat="false" ht="15" hidden="false" customHeight="false" outlineLevel="0" collapsed="false">
      <c r="A478" s="2" t="str">
        <f aca="false">Person_Data!A478</f>
        <v>G23722</v>
      </c>
      <c r="B478" s="2" t="str">
        <f aca="false">Person_Data!C478</f>
        <v>Warrant Officer</v>
      </c>
      <c r="C478" s="5" t="n">
        <f aca="false">Person_Data!D478</f>
        <v>3.32</v>
      </c>
      <c r="D478" s="2" t="n">
        <f aca="false">INDEX(Rank_Rules!$B$2:$B$9,MATCH(B478,Rank_Rules!$A$2:$A$9,0))</f>
        <v>3</v>
      </c>
      <c r="E478" s="2" t="n">
        <f aca="false">INDEX(Rank_Rules!$C$2:$C$9,MATCH(B478,Rank_Rules!$A$2:$A$9,0))</f>
        <v>5</v>
      </c>
      <c r="F478" s="2" t="str">
        <f aca="false">IF(AND(C478&gt;=D478,C478&lt;=E478),"OK","MISMATCH")</f>
        <v>OK</v>
      </c>
      <c r="G478" s="6" t="n">
        <f aca="false">Person_Data!H478</f>
        <v>41.8</v>
      </c>
      <c r="H478" s="2" t="str">
        <f aca="false">IF(G478&gt;=65,"HIGH",IF(G478&gt;=50,"MEDIUM","LOW"))</f>
        <v>LOW</v>
      </c>
    </row>
    <row r="479" customFormat="false" ht="15" hidden="false" customHeight="false" outlineLevel="0" collapsed="false">
      <c r="A479" s="2" t="str">
        <f aca="false">Person_Data!A479</f>
        <v>G21555</v>
      </c>
      <c r="B479" s="2" t="str">
        <f aca="false">Person_Data!C479</f>
        <v>Senior Warrant Officer</v>
      </c>
      <c r="C479" s="5" t="n">
        <f aca="false">Person_Data!D479</f>
        <v>5.26</v>
      </c>
      <c r="D479" s="2" t="n">
        <f aca="false">INDEX(Rank_Rules!$B$2:$B$9,MATCH(B479,Rank_Rules!$A$2:$A$9,0))</f>
        <v>5</v>
      </c>
      <c r="E479" s="2" t="n">
        <f aca="false">INDEX(Rank_Rules!$C$2:$C$9,MATCH(B479,Rank_Rules!$A$2:$A$9,0))</f>
        <v>20</v>
      </c>
      <c r="F479" s="2" t="str">
        <f aca="false">IF(AND(C479&gt;=D479,C479&lt;=E479),"OK","MISMATCH")</f>
        <v>OK</v>
      </c>
      <c r="G479" s="6" t="n">
        <f aca="false">Person_Data!H479</f>
        <v>47.6</v>
      </c>
      <c r="H479" s="2" t="str">
        <f aca="false">IF(G479&gt;=65,"HIGH",IF(G479&gt;=50,"MEDIUM","LOW"))</f>
        <v>LOW</v>
      </c>
    </row>
    <row r="480" customFormat="false" ht="15" hidden="false" customHeight="false" outlineLevel="0" collapsed="false">
      <c r="A480" s="2" t="str">
        <f aca="false">Person_Data!A480</f>
        <v>G23967</v>
      </c>
      <c r="B480" s="2" t="str">
        <f aca="false">Person_Data!C480</f>
        <v>Warrant Officer</v>
      </c>
      <c r="C480" s="5" t="n">
        <f aca="false">Person_Data!D480</f>
        <v>3.44</v>
      </c>
      <c r="D480" s="2" t="n">
        <f aca="false">INDEX(Rank_Rules!$B$2:$B$9,MATCH(B480,Rank_Rules!$A$2:$A$9,0))</f>
        <v>3</v>
      </c>
      <c r="E480" s="2" t="n">
        <f aca="false">INDEX(Rank_Rules!$C$2:$C$9,MATCH(B480,Rank_Rules!$A$2:$A$9,0))</f>
        <v>5</v>
      </c>
      <c r="F480" s="2" t="str">
        <f aca="false">IF(AND(C480&gt;=D480,C480&lt;=E480),"OK","MISMATCH")</f>
        <v>OK</v>
      </c>
      <c r="G480" s="6" t="n">
        <f aca="false">Person_Data!H480</f>
        <v>63.1</v>
      </c>
      <c r="H480" s="2" t="str">
        <f aca="false">IF(G480&gt;=65,"HIGH",IF(G480&gt;=50,"MEDIUM","LOW"))</f>
        <v>MEDIUM</v>
      </c>
    </row>
    <row r="481" customFormat="false" ht="15" hidden="false" customHeight="false" outlineLevel="0" collapsed="false">
      <c r="A481" s="2" t="str">
        <f aca="false">Person_Data!A481</f>
        <v>G21563</v>
      </c>
      <c r="B481" s="2" t="str">
        <f aca="false">Person_Data!C481</f>
        <v>Warrant Officer</v>
      </c>
      <c r="C481" s="5" t="n">
        <f aca="false">Person_Data!D481</f>
        <v>4.87</v>
      </c>
      <c r="D481" s="2" t="n">
        <f aca="false">INDEX(Rank_Rules!$B$2:$B$9,MATCH(B481,Rank_Rules!$A$2:$A$9,0))</f>
        <v>3</v>
      </c>
      <c r="E481" s="2" t="n">
        <f aca="false">INDEX(Rank_Rules!$C$2:$C$9,MATCH(B481,Rank_Rules!$A$2:$A$9,0))</f>
        <v>5</v>
      </c>
      <c r="F481" s="2" t="str">
        <f aca="false">IF(AND(C481&gt;=D481,C481&lt;=E481),"OK","MISMATCH")</f>
        <v>OK</v>
      </c>
      <c r="G481" s="6" t="n">
        <f aca="false">Person_Data!H481</f>
        <v>58.3</v>
      </c>
      <c r="H481" s="2" t="str">
        <f aca="false">IF(G481&gt;=65,"HIGH",IF(G481&gt;=50,"MEDIUM","LOW"))</f>
        <v>MEDIUM</v>
      </c>
    </row>
    <row r="482" customFormat="false" ht="15" hidden="false" customHeight="false" outlineLevel="0" collapsed="false">
      <c r="A482" s="2" t="str">
        <f aca="false">Person_Data!A482</f>
        <v>G13345</v>
      </c>
      <c r="B482" s="2" t="str">
        <f aca="false">Person_Data!C482</f>
        <v>Senior Warrant Officer</v>
      </c>
      <c r="C482" s="5" t="n">
        <f aca="false">Person_Data!D482</f>
        <v>12.83</v>
      </c>
      <c r="D482" s="2" t="n">
        <f aca="false">INDEX(Rank_Rules!$B$2:$B$9,MATCH(B482,Rank_Rules!$A$2:$A$9,0))</f>
        <v>5</v>
      </c>
      <c r="E482" s="2" t="n">
        <f aca="false">INDEX(Rank_Rules!$C$2:$C$9,MATCH(B482,Rank_Rules!$A$2:$A$9,0))</f>
        <v>20</v>
      </c>
      <c r="F482" s="2" t="str">
        <f aca="false">IF(AND(C482&gt;=D482,C482&lt;=E482),"OK","MISMATCH")</f>
        <v>OK</v>
      </c>
      <c r="G482" s="6" t="n">
        <f aca="false">Person_Data!H482</f>
        <v>49.7</v>
      </c>
      <c r="H482" s="2" t="str">
        <f aca="false">IF(G482&gt;=65,"HIGH",IF(G482&gt;=50,"MEDIUM","LOW"))</f>
        <v>LOW</v>
      </c>
    </row>
    <row r="483" customFormat="false" ht="15" hidden="false" customHeight="false" outlineLevel="0" collapsed="false">
      <c r="A483" s="2" t="str">
        <f aca="false">Person_Data!A483</f>
        <v>G24895</v>
      </c>
      <c r="B483" s="2" t="str">
        <f aca="false">Person_Data!C483</f>
        <v>Junior Warrant Officer</v>
      </c>
      <c r="C483" s="5" t="n">
        <f aca="false">Person_Data!D483</f>
        <v>2.32</v>
      </c>
      <c r="D483" s="2" t="n">
        <f aca="false">INDEX(Rank_Rules!$B$2:$B$9,MATCH(B483,Rank_Rules!$A$2:$A$9,0))</f>
        <v>1</v>
      </c>
      <c r="E483" s="2" t="n">
        <f aca="false">INDEX(Rank_Rules!$C$2:$C$9,MATCH(B483,Rank_Rules!$A$2:$A$9,0))</f>
        <v>3</v>
      </c>
      <c r="F483" s="2" t="str">
        <f aca="false">IF(AND(C483&gt;=D483,C483&lt;=E483),"OK","MISMATCH")</f>
        <v>OK</v>
      </c>
      <c r="G483" s="6" t="n">
        <f aca="false">Person_Data!H483</f>
        <v>52.3</v>
      </c>
      <c r="H483" s="2" t="str">
        <f aca="false">IF(G483&gt;=65,"HIGH",IF(G483&gt;=50,"MEDIUM","LOW"))</f>
        <v>MEDIUM</v>
      </c>
    </row>
    <row r="484" customFormat="false" ht="15" hidden="false" customHeight="false" outlineLevel="0" collapsed="false">
      <c r="A484" s="2" t="str">
        <f aca="false">Person_Data!A484</f>
        <v>G21379</v>
      </c>
      <c r="B484" s="2" t="str">
        <f aca="false">Person_Data!C484</f>
        <v>Senior Warrant Officer</v>
      </c>
      <c r="C484" s="5" t="n">
        <f aca="false">Person_Data!D484</f>
        <v>5.3</v>
      </c>
      <c r="D484" s="2" t="n">
        <f aca="false">INDEX(Rank_Rules!$B$2:$B$9,MATCH(B484,Rank_Rules!$A$2:$A$9,0))</f>
        <v>5</v>
      </c>
      <c r="E484" s="2" t="n">
        <f aca="false">INDEX(Rank_Rules!$C$2:$C$9,MATCH(B484,Rank_Rules!$A$2:$A$9,0))</f>
        <v>20</v>
      </c>
      <c r="F484" s="2" t="str">
        <f aca="false">IF(AND(C484&gt;=D484,C484&lt;=E484),"OK","MISMATCH")</f>
        <v>OK</v>
      </c>
      <c r="G484" s="6" t="n">
        <f aca="false">Person_Data!H484</f>
        <v>43.5</v>
      </c>
      <c r="H484" s="2" t="str">
        <f aca="false">IF(G484&gt;=65,"HIGH",IF(G484&gt;=50,"MEDIUM","LOW"))</f>
        <v>LOW</v>
      </c>
    </row>
    <row r="485" customFormat="false" ht="15" hidden="false" customHeight="false" outlineLevel="0" collapsed="false">
      <c r="A485" s="2" t="str">
        <f aca="false">Person_Data!A485</f>
        <v>G17341</v>
      </c>
      <c r="B485" s="2" t="str">
        <f aca="false">Person_Data!C485</f>
        <v>Senior Warrant Officer</v>
      </c>
      <c r="C485" s="5" t="n">
        <f aca="false">Person_Data!D485</f>
        <v>8.62</v>
      </c>
      <c r="D485" s="2" t="n">
        <f aca="false">INDEX(Rank_Rules!$B$2:$B$9,MATCH(B485,Rank_Rules!$A$2:$A$9,0))</f>
        <v>5</v>
      </c>
      <c r="E485" s="2" t="n">
        <f aca="false">INDEX(Rank_Rules!$C$2:$C$9,MATCH(B485,Rank_Rules!$A$2:$A$9,0))</f>
        <v>20</v>
      </c>
      <c r="F485" s="2" t="str">
        <f aca="false">IF(AND(C485&gt;=D485,C485&lt;=E485),"OK","MISMATCH")</f>
        <v>OK</v>
      </c>
      <c r="G485" s="6" t="n">
        <f aca="false">Person_Data!H485</f>
        <v>27.8</v>
      </c>
      <c r="H485" s="2" t="str">
        <f aca="false">IF(G485&gt;=65,"HIGH",IF(G485&gt;=50,"MEDIUM","LOW"))</f>
        <v>LOW</v>
      </c>
    </row>
    <row r="486" customFormat="false" ht="15" hidden="false" customHeight="false" outlineLevel="0" collapsed="false">
      <c r="A486" s="2" t="str">
        <f aca="false">Person_Data!A486</f>
        <v>G10878</v>
      </c>
      <c r="B486" s="2" t="str">
        <f aca="false">Person_Data!C486</f>
        <v>Senior Warrant Officer</v>
      </c>
      <c r="C486" s="5" t="n">
        <f aca="false">Person_Data!D486</f>
        <v>16.37</v>
      </c>
      <c r="D486" s="2" t="n">
        <f aca="false">INDEX(Rank_Rules!$B$2:$B$9,MATCH(B486,Rank_Rules!$A$2:$A$9,0))</f>
        <v>5</v>
      </c>
      <c r="E486" s="2" t="n">
        <f aca="false">INDEX(Rank_Rules!$C$2:$C$9,MATCH(B486,Rank_Rules!$A$2:$A$9,0))</f>
        <v>20</v>
      </c>
      <c r="F486" s="2" t="str">
        <f aca="false">IF(AND(C486&gt;=D486,C486&lt;=E486),"OK","MISMATCH")</f>
        <v>OK</v>
      </c>
      <c r="G486" s="6" t="n">
        <f aca="false">Person_Data!H486</f>
        <v>58</v>
      </c>
      <c r="H486" s="2" t="str">
        <f aca="false">IF(G486&gt;=65,"HIGH",IF(G486&gt;=50,"MEDIUM","LOW"))</f>
        <v>MEDIUM</v>
      </c>
    </row>
    <row r="487" customFormat="false" ht="15" hidden="false" customHeight="false" outlineLevel="0" collapsed="false">
      <c r="A487" s="2" t="str">
        <f aca="false">Person_Data!A487</f>
        <v>G22691</v>
      </c>
      <c r="B487" s="2" t="str">
        <f aca="false">Person_Data!C487</f>
        <v>Warrant Officer</v>
      </c>
      <c r="C487" s="5" t="n">
        <f aca="false">Person_Data!D487</f>
        <v>4.23</v>
      </c>
      <c r="D487" s="2" t="n">
        <f aca="false">INDEX(Rank_Rules!$B$2:$B$9,MATCH(B487,Rank_Rules!$A$2:$A$9,0))</f>
        <v>3</v>
      </c>
      <c r="E487" s="2" t="n">
        <f aca="false">INDEX(Rank_Rules!$C$2:$C$9,MATCH(B487,Rank_Rules!$A$2:$A$9,0))</f>
        <v>5</v>
      </c>
      <c r="F487" s="2" t="str">
        <f aca="false">IF(AND(C487&gt;=D487,C487&lt;=E487),"OK","MISMATCH")</f>
        <v>OK</v>
      </c>
      <c r="G487" s="6" t="n">
        <f aca="false">Person_Data!H487</f>
        <v>48.1</v>
      </c>
      <c r="H487" s="2" t="str">
        <f aca="false">IF(G487&gt;=65,"HIGH",IF(G487&gt;=50,"MEDIUM","LOW"))</f>
        <v>LOW</v>
      </c>
    </row>
    <row r="488" customFormat="false" ht="15" hidden="false" customHeight="false" outlineLevel="0" collapsed="false">
      <c r="A488" s="2" t="str">
        <f aca="false">Person_Data!A488</f>
        <v>G23878</v>
      </c>
      <c r="B488" s="2" t="str">
        <f aca="false">Person_Data!C488</f>
        <v>Warrant Officer</v>
      </c>
      <c r="C488" s="5" t="n">
        <f aca="false">Person_Data!D488</f>
        <v>3.37</v>
      </c>
      <c r="D488" s="2" t="n">
        <f aca="false">INDEX(Rank_Rules!$B$2:$B$9,MATCH(B488,Rank_Rules!$A$2:$A$9,0))</f>
        <v>3</v>
      </c>
      <c r="E488" s="2" t="n">
        <f aca="false">INDEX(Rank_Rules!$C$2:$C$9,MATCH(B488,Rank_Rules!$A$2:$A$9,0))</f>
        <v>5</v>
      </c>
      <c r="F488" s="2" t="str">
        <f aca="false">IF(AND(C488&gt;=D488,C488&lt;=E488),"OK","MISMATCH")</f>
        <v>OK</v>
      </c>
      <c r="G488" s="6" t="n">
        <f aca="false">Person_Data!H488</f>
        <v>46.6</v>
      </c>
      <c r="H488" s="2" t="str">
        <f aca="false">IF(G488&gt;=65,"HIGH",IF(G488&gt;=50,"MEDIUM","LOW"))</f>
        <v>LOW</v>
      </c>
    </row>
    <row r="489" customFormat="false" ht="15" hidden="false" customHeight="false" outlineLevel="0" collapsed="false">
      <c r="A489" s="2" t="str">
        <f aca="false">Person_Data!A489</f>
        <v>G23264</v>
      </c>
      <c r="B489" s="2" t="str">
        <f aca="false">Person_Data!C489</f>
        <v>Warrant Officer</v>
      </c>
      <c r="C489" s="5" t="n">
        <f aca="false">Person_Data!D489</f>
        <v>3.3</v>
      </c>
      <c r="D489" s="2" t="n">
        <f aca="false">INDEX(Rank_Rules!$B$2:$B$9,MATCH(B489,Rank_Rules!$A$2:$A$9,0))</f>
        <v>3</v>
      </c>
      <c r="E489" s="2" t="n">
        <f aca="false">INDEX(Rank_Rules!$C$2:$C$9,MATCH(B489,Rank_Rules!$A$2:$A$9,0))</f>
        <v>5</v>
      </c>
      <c r="F489" s="2" t="str">
        <f aca="false">IF(AND(C489&gt;=D489,C489&lt;=E489),"OK","MISMATCH")</f>
        <v>OK</v>
      </c>
      <c r="G489" s="6" t="n">
        <f aca="false">Person_Data!H489</f>
        <v>48.1</v>
      </c>
      <c r="H489" s="2" t="str">
        <f aca="false">IF(G489&gt;=65,"HIGH",IF(G489&gt;=50,"MEDIUM","LOW"))</f>
        <v>LOW</v>
      </c>
    </row>
    <row r="490" customFormat="false" ht="15" hidden="false" customHeight="false" outlineLevel="0" collapsed="false">
      <c r="A490" s="2" t="str">
        <f aca="false">Person_Data!A490</f>
        <v>G09033</v>
      </c>
      <c r="B490" s="2" t="str">
        <f aca="false">Person_Data!C490</f>
        <v>Senior Warrant Officer</v>
      </c>
      <c r="C490" s="5" t="n">
        <f aca="false">Person_Data!D490</f>
        <v>16.55</v>
      </c>
      <c r="D490" s="2" t="n">
        <f aca="false">INDEX(Rank_Rules!$B$2:$B$9,MATCH(B490,Rank_Rules!$A$2:$A$9,0))</f>
        <v>5</v>
      </c>
      <c r="E490" s="2" t="n">
        <f aca="false">INDEX(Rank_Rules!$C$2:$C$9,MATCH(B490,Rank_Rules!$A$2:$A$9,0))</f>
        <v>20</v>
      </c>
      <c r="F490" s="2" t="str">
        <f aca="false">IF(AND(C490&gt;=D490,C490&lt;=E490),"OK","MISMATCH")</f>
        <v>OK</v>
      </c>
      <c r="G490" s="6" t="n">
        <f aca="false">Person_Data!H490</f>
        <v>48.1</v>
      </c>
      <c r="H490" s="2" t="str">
        <f aca="false">IF(G490&gt;=65,"HIGH",IF(G490&gt;=50,"MEDIUM","LOW"))</f>
        <v>LOW</v>
      </c>
    </row>
    <row r="491" customFormat="false" ht="15" hidden="false" customHeight="false" outlineLevel="0" collapsed="false">
      <c r="A491" s="2" t="str">
        <f aca="false">Person_Data!A491</f>
        <v>G22782</v>
      </c>
      <c r="B491" s="2" t="str">
        <f aca="false">Person_Data!C491</f>
        <v>Warrant Officer</v>
      </c>
      <c r="C491" s="5" t="n">
        <f aca="false">Person_Data!D491</f>
        <v>3.96</v>
      </c>
      <c r="D491" s="2" t="n">
        <f aca="false">INDEX(Rank_Rules!$B$2:$B$9,MATCH(B491,Rank_Rules!$A$2:$A$9,0))</f>
        <v>3</v>
      </c>
      <c r="E491" s="2" t="n">
        <f aca="false">INDEX(Rank_Rules!$C$2:$C$9,MATCH(B491,Rank_Rules!$A$2:$A$9,0))</f>
        <v>5</v>
      </c>
      <c r="F491" s="2" t="str">
        <f aca="false">IF(AND(C491&gt;=D491,C491&lt;=E491),"OK","MISMATCH")</f>
        <v>OK</v>
      </c>
      <c r="G491" s="6" t="n">
        <f aca="false">Person_Data!H491</f>
        <v>54.6</v>
      </c>
      <c r="H491" s="2" t="str">
        <f aca="false">IF(G491&gt;=65,"HIGH",IF(G491&gt;=50,"MEDIUM","LOW"))</f>
        <v>MEDIUM</v>
      </c>
    </row>
    <row r="492" customFormat="false" ht="15" hidden="false" customHeight="false" outlineLevel="0" collapsed="false">
      <c r="A492" s="2" t="str">
        <f aca="false">Person_Data!A492</f>
        <v>G10254</v>
      </c>
      <c r="B492" s="2" t="str">
        <f aca="false">Person_Data!C492</f>
        <v>Senior Warrant Officer</v>
      </c>
      <c r="C492" s="5" t="n">
        <f aca="false">Person_Data!D492</f>
        <v>15.81</v>
      </c>
      <c r="D492" s="2" t="n">
        <f aca="false">INDEX(Rank_Rules!$B$2:$B$9,MATCH(B492,Rank_Rules!$A$2:$A$9,0))</f>
        <v>5</v>
      </c>
      <c r="E492" s="2" t="n">
        <f aca="false">INDEX(Rank_Rules!$C$2:$C$9,MATCH(B492,Rank_Rules!$A$2:$A$9,0))</f>
        <v>20</v>
      </c>
      <c r="F492" s="2" t="str">
        <f aca="false">IF(AND(C492&gt;=D492,C492&lt;=E492),"OK","MISMATCH")</f>
        <v>OK</v>
      </c>
      <c r="G492" s="6" t="n">
        <f aca="false">Person_Data!H492</f>
        <v>48.1</v>
      </c>
      <c r="H492" s="2" t="str">
        <f aca="false">IF(G492&gt;=65,"HIGH",IF(G492&gt;=50,"MEDIUM","LOW"))</f>
        <v>LOW</v>
      </c>
    </row>
    <row r="493" customFormat="false" ht="15" hidden="false" customHeight="false" outlineLevel="0" collapsed="false">
      <c r="A493" s="2" t="str">
        <f aca="false">Person_Data!A493</f>
        <v>G22028</v>
      </c>
      <c r="B493" s="2" t="str">
        <f aca="false">Person_Data!C493</f>
        <v>Warrant Officer</v>
      </c>
      <c r="C493" s="5" t="n">
        <f aca="false">Person_Data!D493</f>
        <v>3.54</v>
      </c>
      <c r="D493" s="2" t="n">
        <f aca="false">INDEX(Rank_Rules!$B$2:$B$9,MATCH(B493,Rank_Rules!$A$2:$A$9,0))</f>
        <v>3</v>
      </c>
      <c r="E493" s="2" t="n">
        <f aca="false">INDEX(Rank_Rules!$C$2:$C$9,MATCH(B493,Rank_Rules!$A$2:$A$9,0))</f>
        <v>5</v>
      </c>
      <c r="F493" s="2" t="str">
        <f aca="false">IF(AND(C493&gt;=D493,C493&lt;=E493),"OK","MISMATCH")</f>
        <v>OK</v>
      </c>
      <c r="G493" s="6" t="n">
        <f aca="false">Person_Data!H493</f>
        <v>48.1</v>
      </c>
      <c r="H493" s="2" t="str">
        <f aca="false">IF(G493&gt;=65,"HIGH",IF(G493&gt;=50,"MEDIUM","LOW"))</f>
        <v>LOW</v>
      </c>
    </row>
    <row r="494" customFormat="false" ht="15" hidden="false" customHeight="false" outlineLevel="0" collapsed="false">
      <c r="A494" s="2" t="str">
        <f aca="false">Person_Data!A494</f>
        <v>G21049</v>
      </c>
      <c r="B494" s="2" t="str">
        <f aca="false">Person_Data!C494</f>
        <v>Warrant Officer</v>
      </c>
      <c r="C494" s="5" t="n">
        <f aca="false">Person_Data!D494</f>
        <v>4.68</v>
      </c>
      <c r="D494" s="2" t="n">
        <f aca="false">INDEX(Rank_Rules!$B$2:$B$9,MATCH(B494,Rank_Rules!$A$2:$A$9,0))</f>
        <v>3</v>
      </c>
      <c r="E494" s="2" t="n">
        <f aca="false">INDEX(Rank_Rules!$C$2:$C$9,MATCH(B494,Rank_Rules!$A$2:$A$9,0))</f>
        <v>5</v>
      </c>
      <c r="F494" s="2" t="str">
        <f aca="false">IF(AND(C494&gt;=D494,C494&lt;=E494),"OK","MISMATCH")</f>
        <v>OK</v>
      </c>
      <c r="G494" s="6" t="n">
        <f aca="false">Person_Data!H494</f>
        <v>60.1</v>
      </c>
      <c r="H494" s="2" t="str">
        <f aca="false">IF(G494&gt;=65,"HIGH",IF(G494&gt;=50,"MEDIUM","LOW"))</f>
        <v>MEDIUM</v>
      </c>
    </row>
    <row r="495" customFormat="false" ht="15" hidden="false" customHeight="false" outlineLevel="0" collapsed="false">
      <c r="A495" s="2" t="str">
        <f aca="false">Person_Data!A495</f>
        <v>G23282</v>
      </c>
      <c r="B495" s="2" t="str">
        <f aca="false">Person_Data!C495</f>
        <v>Warrant Officer</v>
      </c>
      <c r="C495" s="5" t="n">
        <f aca="false">Person_Data!D495</f>
        <v>3.19</v>
      </c>
      <c r="D495" s="2" t="n">
        <f aca="false">INDEX(Rank_Rules!$B$2:$B$9,MATCH(B495,Rank_Rules!$A$2:$A$9,0))</f>
        <v>3</v>
      </c>
      <c r="E495" s="2" t="n">
        <f aca="false">INDEX(Rank_Rules!$C$2:$C$9,MATCH(B495,Rank_Rules!$A$2:$A$9,0))</f>
        <v>5</v>
      </c>
      <c r="F495" s="2" t="str">
        <f aca="false">IF(AND(C495&gt;=D495,C495&lt;=E495),"OK","MISMATCH")</f>
        <v>OK</v>
      </c>
      <c r="G495" s="6" t="n">
        <f aca="false">Person_Data!H495</f>
        <v>48.1</v>
      </c>
      <c r="H495" s="2" t="str">
        <f aca="false">IF(G495&gt;=65,"HIGH",IF(G495&gt;=50,"MEDIUM","LOW"))</f>
        <v>LOW</v>
      </c>
    </row>
    <row r="496" customFormat="false" ht="15" hidden="false" customHeight="false" outlineLevel="0" collapsed="false">
      <c r="A496" s="2" t="str">
        <f aca="false">Person_Data!A496</f>
        <v>G25308</v>
      </c>
      <c r="B496" s="2" t="str">
        <f aca="false">Person_Data!C496</f>
        <v>Junior Warrant Officer</v>
      </c>
      <c r="C496" s="5" t="n">
        <f aca="false">Person_Data!D496</f>
        <v>1.49</v>
      </c>
      <c r="D496" s="2" t="n">
        <f aca="false">INDEX(Rank_Rules!$B$2:$B$9,MATCH(B496,Rank_Rules!$A$2:$A$9,0))</f>
        <v>1</v>
      </c>
      <c r="E496" s="2" t="n">
        <f aca="false">INDEX(Rank_Rules!$C$2:$C$9,MATCH(B496,Rank_Rules!$A$2:$A$9,0))</f>
        <v>3</v>
      </c>
      <c r="F496" s="2" t="str">
        <f aca="false">IF(AND(C496&gt;=D496,C496&lt;=E496),"OK","MISMATCH")</f>
        <v>OK</v>
      </c>
      <c r="G496" s="6" t="n">
        <f aca="false">Person_Data!H496</f>
        <v>48.1</v>
      </c>
      <c r="H496" s="2" t="str">
        <f aca="false">IF(G496&gt;=65,"HIGH",IF(G496&gt;=50,"MEDIUM","LOW"))</f>
        <v>LOW</v>
      </c>
    </row>
    <row r="497" customFormat="false" ht="15" hidden="false" customHeight="false" outlineLevel="0" collapsed="false">
      <c r="A497" s="2" t="str">
        <f aca="false">Person_Data!A497</f>
        <v>G22471</v>
      </c>
      <c r="B497" s="2" t="str">
        <f aca="false">Person_Data!C497</f>
        <v>Warrant Officer</v>
      </c>
      <c r="C497" s="5" t="n">
        <f aca="false">Person_Data!D497</f>
        <v>3.94</v>
      </c>
      <c r="D497" s="2" t="n">
        <f aca="false">INDEX(Rank_Rules!$B$2:$B$9,MATCH(B497,Rank_Rules!$A$2:$A$9,0))</f>
        <v>3</v>
      </c>
      <c r="E497" s="2" t="n">
        <f aca="false">INDEX(Rank_Rules!$C$2:$C$9,MATCH(B497,Rank_Rules!$A$2:$A$9,0))</f>
        <v>5</v>
      </c>
      <c r="F497" s="2" t="str">
        <f aca="false">IF(AND(C497&gt;=D497,C497&lt;=E497),"OK","MISMATCH")</f>
        <v>OK</v>
      </c>
      <c r="G497" s="6" t="n">
        <f aca="false">Person_Data!H497</f>
        <v>54.6</v>
      </c>
      <c r="H497" s="2" t="str">
        <f aca="false">IF(G497&gt;=65,"HIGH",IF(G497&gt;=50,"MEDIUM","LOW"))</f>
        <v>MEDIUM</v>
      </c>
    </row>
    <row r="498" customFormat="false" ht="15" hidden="false" customHeight="false" outlineLevel="0" collapsed="false">
      <c r="A498" s="2" t="str">
        <f aca="false">Person_Data!A498</f>
        <v>G23592</v>
      </c>
      <c r="B498" s="2" t="str">
        <f aca="false">Person_Data!C498</f>
        <v>Warrant Officer</v>
      </c>
      <c r="C498" s="5" t="n">
        <f aca="false">Person_Data!D498</f>
        <v>3.46</v>
      </c>
      <c r="D498" s="2" t="n">
        <f aca="false">INDEX(Rank_Rules!$B$2:$B$9,MATCH(B498,Rank_Rules!$A$2:$A$9,0))</f>
        <v>3</v>
      </c>
      <c r="E498" s="2" t="n">
        <f aca="false">INDEX(Rank_Rules!$C$2:$C$9,MATCH(B498,Rank_Rules!$A$2:$A$9,0))</f>
        <v>5</v>
      </c>
      <c r="F498" s="2" t="str">
        <f aca="false">IF(AND(C498&gt;=D498,C498&lt;=E498),"OK","MISMATCH")</f>
        <v>OK</v>
      </c>
      <c r="G498" s="6" t="n">
        <f aca="false">Person_Data!H498</f>
        <v>45.7</v>
      </c>
      <c r="H498" s="2" t="str">
        <f aca="false">IF(G498&gt;=65,"HIGH",IF(G498&gt;=50,"MEDIUM","LOW"))</f>
        <v>LOW</v>
      </c>
    </row>
    <row r="499" customFormat="false" ht="15" hidden="false" customHeight="false" outlineLevel="0" collapsed="false">
      <c r="A499" s="2" t="str">
        <f aca="false">Person_Data!A499</f>
        <v>G25920</v>
      </c>
      <c r="B499" s="2" t="str">
        <f aca="false">Person_Data!C499</f>
        <v>Junior Warrant Officer</v>
      </c>
      <c r="C499" s="5" t="n">
        <f aca="false">Person_Data!D499</f>
        <v>1.15</v>
      </c>
      <c r="D499" s="2" t="n">
        <f aca="false">INDEX(Rank_Rules!$B$2:$B$9,MATCH(B499,Rank_Rules!$A$2:$A$9,0))</f>
        <v>1</v>
      </c>
      <c r="E499" s="2" t="n">
        <f aca="false">INDEX(Rank_Rules!$C$2:$C$9,MATCH(B499,Rank_Rules!$A$2:$A$9,0))</f>
        <v>3</v>
      </c>
      <c r="F499" s="2" t="str">
        <f aca="false">IF(AND(C499&gt;=D499,C499&lt;=E499),"OK","MISMATCH")</f>
        <v>OK</v>
      </c>
      <c r="G499" s="6" t="n">
        <f aca="false">Person_Data!H499</f>
        <v>48.1</v>
      </c>
      <c r="H499" s="2" t="str">
        <f aca="false">IF(G499&gt;=65,"HIGH",IF(G499&gt;=50,"MEDIUM","LOW"))</f>
        <v>LOW</v>
      </c>
    </row>
    <row r="500" customFormat="false" ht="15" hidden="false" customHeight="false" outlineLevel="0" collapsed="false">
      <c r="A500" s="2" t="str">
        <f aca="false">Person_Data!A500</f>
        <v>G24364</v>
      </c>
      <c r="B500" s="2" t="str">
        <f aca="false">Person_Data!C500</f>
        <v>Junior Warrant Officer</v>
      </c>
      <c r="C500" s="5" t="n">
        <f aca="false">Person_Data!D500</f>
        <v>1.82</v>
      </c>
      <c r="D500" s="2" t="n">
        <f aca="false">INDEX(Rank_Rules!$B$2:$B$9,MATCH(B500,Rank_Rules!$A$2:$A$9,0))</f>
        <v>1</v>
      </c>
      <c r="E500" s="2" t="n">
        <f aca="false">INDEX(Rank_Rules!$C$2:$C$9,MATCH(B500,Rank_Rules!$A$2:$A$9,0))</f>
        <v>3</v>
      </c>
      <c r="F500" s="2" t="str">
        <f aca="false">IF(AND(C500&gt;=D500,C500&lt;=E500),"OK","MISMATCH")</f>
        <v>OK</v>
      </c>
      <c r="G500" s="6" t="n">
        <f aca="false">Person_Data!H500</f>
        <v>48.1</v>
      </c>
      <c r="H500" s="2" t="str">
        <f aca="false">IF(G500&gt;=65,"HIGH",IF(G500&gt;=50,"MEDIUM","LOW"))</f>
        <v>LOW</v>
      </c>
    </row>
    <row r="501" customFormat="false" ht="15" hidden="false" customHeight="false" outlineLevel="0" collapsed="false">
      <c r="A501" s="2" t="str">
        <f aca="false">Person_Data!A501</f>
        <v>G22982</v>
      </c>
      <c r="B501" s="2" t="str">
        <f aca="false">Person_Data!C501</f>
        <v>Warrant Officer</v>
      </c>
      <c r="C501" s="5" t="n">
        <f aca="false">Person_Data!D501</f>
        <v>4.07</v>
      </c>
      <c r="D501" s="2" t="n">
        <f aca="false">INDEX(Rank_Rules!$B$2:$B$9,MATCH(B501,Rank_Rules!$A$2:$A$9,0))</f>
        <v>3</v>
      </c>
      <c r="E501" s="2" t="n">
        <f aca="false">INDEX(Rank_Rules!$C$2:$C$9,MATCH(B501,Rank_Rules!$A$2:$A$9,0))</f>
        <v>5</v>
      </c>
      <c r="F501" s="2" t="str">
        <f aca="false">IF(AND(C501&gt;=D501,C501&lt;=E501),"OK","MISMATCH")</f>
        <v>OK</v>
      </c>
      <c r="G501" s="6" t="n">
        <f aca="false">Person_Data!H501</f>
        <v>44.9</v>
      </c>
      <c r="H501" s="2" t="str">
        <f aca="false">IF(G501&gt;=65,"HIGH",IF(G501&gt;=50,"MEDIUM","LOW"))</f>
        <v>LOW</v>
      </c>
    </row>
    <row r="502" customFormat="false" ht="15" hidden="false" customHeight="false" outlineLevel="0" collapsed="false">
      <c r="A502" s="2" t="str">
        <f aca="false">Person_Data!A502</f>
        <v>G23461</v>
      </c>
      <c r="B502" s="2" t="str">
        <f aca="false">Person_Data!C502</f>
        <v>Junior Warrant Officer</v>
      </c>
      <c r="C502" s="5" t="n">
        <f aca="false">Person_Data!D502</f>
        <v>2.98</v>
      </c>
      <c r="D502" s="2" t="n">
        <f aca="false">INDEX(Rank_Rules!$B$2:$B$9,MATCH(B502,Rank_Rules!$A$2:$A$9,0))</f>
        <v>1</v>
      </c>
      <c r="E502" s="2" t="n">
        <f aca="false">INDEX(Rank_Rules!$C$2:$C$9,MATCH(B502,Rank_Rules!$A$2:$A$9,0))</f>
        <v>3</v>
      </c>
      <c r="F502" s="2" t="str">
        <f aca="false">IF(AND(C502&gt;=D502,C502&lt;=E502),"OK","MISMATCH")</f>
        <v>OK</v>
      </c>
      <c r="G502" s="6" t="n">
        <f aca="false">Person_Data!H502</f>
        <v>48.1</v>
      </c>
      <c r="H502" s="2" t="str">
        <f aca="false">IF(G502&gt;=65,"HIGH",IF(G502&gt;=50,"MEDIUM","LOW"))</f>
        <v>LOW</v>
      </c>
    </row>
    <row r="503" customFormat="false" ht="15" hidden="false" customHeight="false" outlineLevel="0" collapsed="false">
      <c r="A503" s="2" t="str">
        <f aca="false">Person_Data!A503</f>
        <v>G18512</v>
      </c>
      <c r="B503" s="2" t="str">
        <f aca="false">Person_Data!C503</f>
        <v>Senior Warrant Officer</v>
      </c>
      <c r="C503" s="5" t="n">
        <f aca="false">Person_Data!D503</f>
        <v>8.31</v>
      </c>
      <c r="D503" s="2" t="n">
        <f aca="false">INDEX(Rank_Rules!$B$2:$B$9,MATCH(B503,Rank_Rules!$A$2:$A$9,0))</f>
        <v>5</v>
      </c>
      <c r="E503" s="2" t="n">
        <f aca="false">INDEX(Rank_Rules!$C$2:$C$9,MATCH(B503,Rank_Rules!$A$2:$A$9,0))</f>
        <v>20</v>
      </c>
      <c r="F503" s="2" t="str">
        <f aca="false">IF(AND(C503&gt;=D503,C503&lt;=E503),"OK","MISMATCH")</f>
        <v>OK</v>
      </c>
      <c r="G503" s="6" t="n">
        <f aca="false">Person_Data!H503</f>
        <v>48.1</v>
      </c>
      <c r="H503" s="2" t="str">
        <f aca="false">IF(G503&gt;=65,"HIGH",IF(G503&gt;=50,"MEDIUM","LOW"))</f>
        <v>LOW</v>
      </c>
    </row>
    <row r="504" customFormat="false" ht="15" hidden="false" customHeight="false" outlineLevel="0" collapsed="false">
      <c r="A504" s="2" t="str">
        <f aca="false">Person_Data!A504</f>
        <v>G23291</v>
      </c>
      <c r="B504" s="2" t="str">
        <f aca="false">Person_Data!C504</f>
        <v>Warrant Officer</v>
      </c>
      <c r="C504" s="5" t="n">
        <f aca="false">Person_Data!D504</f>
        <v>3.07</v>
      </c>
      <c r="D504" s="2" t="n">
        <f aca="false">INDEX(Rank_Rules!$B$2:$B$9,MATCH(B504,Rank_Rules!$A$2:$A$9,0))</f>
        <v>3</v>
      </c>
      <c r="E504" s="2" t="n">
        <f aca="false">INDEX(Rank_Rules!$C$2:$C$9,MATCH(B504,Rank_Rules!$A$2:$A$9,0))</f>
        <v>5</v>
      </c>
      <c r="F504" s="2" t="str">
        <f aca="false">IF(AND(C504&gt;=D504,C504&lt;=E504),"OK","MISMATCH")</f>
        <v>OK</v>
      </c>
      <c r="G504" s="6" t="n">
        <f aca="false">Person_Data!H504</f>
        <v>57.4</v>
      </c>
      <c r="H504" s="2" t="str">
        <f aca="false">IF(G504&gt;=65,"HIGH",IF(G504&gt;=50,"MEDIUM","LOW"))</f>
        <v>MEDIUM</v>
      </c>
    </row>
    <row r="505" customFormat="false" ht="15" hidden="false" customHeight="false" outlineLevel="0" collapsed="false">
      <c r="A505" s="2" t="str">
        <f aca="false">Person_Data!A505</f>
        <v>G23231</v>
      </c>
      <c r="B505" s="2" t="str">
        <f aca="false">Person_Data!C505</f>
        <v>Warrant Officer</v>
      </c>
      <c r="C505" s="5" t="n">
        <f aca="false">Person_Data!D505</f>
        <v>3.24</v>
      </c>
      <c r="D505" s="2" t="n">
        <f aca="false">INDEX(Rank_Rules!$B$2:$B$9,MATCH(B505,Rank_Rules!$A$2:$A$9,0))</f>
        <v>3</v>
      </c>
      <c r="E505" s="2" t="n">
        <f aca="false">INDEX(Rank_Rules!$C$2:$C$9,MATCH(B505,Rank_Rules!$A$2:$A$9,0))</f>
        <v>5</v>
      </c>
      <c r="F505" s="2" t="str">
        <f aca="false">IF(AND(C505&gt;=D505,C505&lt;=E505),"OK","MISMATCH")</f>
        <v>OK</v>
      </c>
      <c r="G505" s="6" t="n">
        <f aca="false">Person_Data!H505</f>
        <v>55</v>
      </c>
      <c r="H505" s="2" t="str">
        <f aca="false">IF(G505&gt;=65,"HIGH",IF(G505&gt;=50,"MEDIUM","LOW"))</f>
        <v>MEDIUM</v>
      </c>
    </row>
    <row r="506" customFormat="false" ht="15" hidden="false" customHeight="false" outlineLevel="0" collapsed="false">
      <c r="A506" s="2" t="str">
        <f aca="false">Person_Data!A506</f>
        <v>G22347</v>
      </c>
      <c r="B506" s="2" t="str">
        <f aca="false">Person_Data!C506</f>
        <v>Warrant Officer</v>
      </c>
      <c r="C506" s="5" t="n">
        <f aca="false">Person_Data!D506</f>
        <v>3.9</v>
      </c>
      <c r="D506" s="2" t="n">
        <f aca="false">INDEX(Rank_Rules!$B$2:$B$9,MATCH(B506,Rank_Rules!$A$2:$A$9,0))</f>
        <v>3</v>
      </c>
      <c r="E506" s="2" t="n">
        <f aca="false">INDEX(Rank_Rules!$C$2:$C$9,MATCH(B506,Rank_Rules!$A$2:$A$9,0))</f>
        <v>5</v>
      </c>
      <c r="F506" s="2" t="str">
        <f aca="false">IF(AND(C506&gt;=D506,C506&lt;=E506),"OK","MISMATCH")</f>
        <v>OK</v>
      </c>
      <c r="G506" s="6" t="n">
        <f aca="false">Person_Data!H506</f>
        <v>45.3</v>
      </c>
      <c r="H506" s="2" t="str">
        <f aca="false">IF(G506&gt;=65,"HIGH",IF(G506&gt;=50,"MEDIUM","LOW"))</f>
        <v>LOW</v>
      </c>
    </row>
    <row r="507" customFormat="false" ht="15" hidden="false" customHeight="false" outlineLevel="0" collapsed="false">
      <c r="A507" s="2" t="str">
        <f aca="false">Person_Data!A507</f>
        <v>G23588</v>
      </c>
      <c r="B507" s="2" t="str">
        <f aca="false">Person_Data!C507</f>
        <v>Warrant Officer</v>
      </c>
      <c r="C507" s="5" t="n">
        <f aca="false">Person_Data!D507</f>
        <v>3.47</v>
      </c>
      <c r="D507" s="2" t="n">
        <f aca="false">INDEX(Rank_Rules!$B$2:$B$9,MATCH(B507,Rank_Rules!$A$2:$A$9,0))</f>
        <v>3</v>
      </c>
      <c r="E507" s="2" t="n">
        <f aca="false">INDEX(Rank_Rules!$C$2:$C$9,MATCH(B507,Rank_Rules!$A$2:$A$9,0))</f>
        <v>5</v>
      </c>
      <c r="F507" s="2" t="str">
        <f aca="false">IF(AND(C507&gt;=D507,C507&lt;=E507),"OK","MISMATCH")</f>
        <v>OK</v>
      </c>
      <c r="G507" s="6" t="n">
        <f aca="false">Person_Data!H507</f>
        <v>46.6</v>
      </c>
      <c r="H507" s="2" t="str">
        <f aca="false">IF(G507&gt;=65,"HIGH",IF(G507&gt;=50,"MEDIUM","LOW"))</f>
        <v>LOW</v>
      </c>
    </row>
    <row r="508" customFormat="false" ht="15" hidden="false" customHeight="false" outlineLevel="0" collapsed="false">
      <c r="A508" s="2" t="str">
        <f aca="false">Person_Data!A508</f>
        <v>G09565</v>
      </c>
      <c r="B508" s="2" t="str">
        <f aca="false">Person_Data!C508</f>
        <v>Senior Warrant Officer</v>
      </c>
      <c r="C508" s="5" t="n">
        <f aca="false">Person_Data!D508</f>
        <v>16.87</v>
      </c>
      <c r="D508" s="2" t="n">
        <f aca="false">INDEX(Rank_Rules!$B$2:$B$9,MATCH(B508,Rank_Rules!$A$2:$A$9,0))</f>
        <v>5</v>
      </c>
      <c r="E508" s="2" t="n">
        <f aca="false">INDEX(Rank_Rules!$C$2:$C$9,MATCH(B508,Rank_Rules!$A$2:$A$9,0))</f>
        <v>20</v>
      </c>
      <c r="F508" s="2" t="str">
        <f aca="false">IF(AND(C508&gt;=D508,C508&lt;=E508),"OK","MISMATCH")</f>
        <v>OK</v>
      </c>
      <c r="G508" s="6" t="n">
        <f aca="false">Person_Data!H508</f>
        <v>45.3</v>
      </c>
      <c r="H508" s="2" t="str">
        <f aca="false">IF(G508&gt;=65,"HIGH",IF(G508&gt;=50,"MEDIUM","LOW"))</f>
        <v>LOW</v>
      </c>
    </row>
    <row r="509" customFormat="false" ht="15" hidden="false" customHeight="false" outlineLevel="0" collapsed="false">
      <c r="A509" s="2" t="str">
        <f aca="false">Person_Data!A509</f>
        <v>G21906</v>
      </c>
      <c r="B509" s="2" t="str">
        <f aca="false">Person_Data!C509</f>
        <v>Warrant Officer</v>
      </c>
      <c r="C509" s="5" t="n">
        <f aca="false">Person_Data!D509</f>
        <v>4.52</v>
      </c>
      <c r="D509" s="2" t="n">
        <f aca="false">INDEX(Rank_Rules!$B$2:$B$9,MATCH(B509,Rank_Rules!$A$2:$A$9,0))</f>
        <v>3</v>
      </c>
      <c r="E509" s="2" t="n">
        <f aca="false">INDEX(Rank_Rules!$C$2:$C$9,MATCH(B509,Rank_Rules!$A$2:$A$9,0))</f>
        <v>5</v>
      </c>
      <c r="F509" s="2" t="str">
        <f aca="false">IF(AND(C509&gt;=D509,C509&lt;=E509),"OK","MISMATCH")</f>
        <v>OK</v>
      </c>
      <c r="G509" s="6" t="n">
        <f aca="false">Person_Data!H509</f>
        <v>48.1</v>
      </c>
      <c r="H509" s="2" t="str">
        <f aca="false">IF(G509&gt;=65,"HIGH",IF(G509&gt;=50,"MEDIUM","LOW"))</f>
        <v>LOW</v>
      </c>
    </row>
    <row r="510" customFormat="false" ht="15" hidden="false" customHeight="false" outlineLevel="0" collapsed="false">
      <c r="A510" s="2" t="str">
        <f aca="false">Person_Data!A510</f>
        <v>G22712</v>
      </c>
      <c r="B510" s="2" t="str">
        <f aca="false">Person_Data!C510</f>
        <v>Warrant Officer</v>
      </c>
      <c r="C510" s="5" t="n">
        <f aca="false">Person_Data!D510</f>
        <v>4.08</v>
      </c>
      <c r="D510" s="2" t="n">
        <f aca="false">INDEX(Rank_Rules!$B$2:$B$9,MATCH(B510,Rank_Rules!$A$2:$A$9,0))</f>
        <v>3</v>
      </c>
      <c r="E510" s="2" t="n">
        <f aca="false">INDEX(Rank_Rules!$C$2:$C$9,MATCH(B510,Rank_Rules!$A$2:$A$9,0))</f>
        <v>5</v>
      </c>
      <c r="F510" s="2" t="str">
        <f aca="false">IF(AND(C510&gt;=D510,C510&lt;=E510),"OK","MISMATCH")</f>
        <v>OK</v>
      </c>
      <c r="G510" s="6" t="n">
        <f aca="false">Person_Data!H510</f>
        <v>44.9</v>
      </c>
      <c r="H510" s="2" t="str">
        <f aca="false">IF(G510&gt;=65,"HIGH",IF(G510&gt;=50,"MEDIUM","LOW"))</f>
        <v>LOW</v>
      </c>
    </row>
    <row r="511" customFormat="false" ht="15" hidden="false" customHeight="false" outlineLevel="0" collapsed="false">
      <c r="A511" s="2" t="str">
        <f aca="false">Person_Data!A511</f>
        <v>G23902</v>
      </c>
      <c r="B511" s="2" t="str">
        <f aca="false">Person_Data!C511</f>
        <v>Warrant Officer</v>
      </c>
      <c r="C511" s="5" t="n">
        <f aca="false">Person_Data!D511</f>
        <v>3.01</v>
      </c>
      <c r="D511" s="2" t="n">
        <f aca="false">INDEX(Rank_Rules!$B$2:$B$9,MATCH(B511,Rank_Rules!$A$2:$A$9,0))</f>
        <v>3</v>
      </c>
      <c r="E511" s="2" t="n">
        <f aca="false">INDEX(Rank_Rules!$C$2:$C$9,MATCH(B511,Rank_Rules!$A$2:$A$9,0))</f>
        <v>5</v>
      </c>
      <c r="F511" s="2" t="str">
        <f aca="false">IF(AND(C511&gt;=D511,C511&lt;=E511),"OK","MISMATCH")</f>
        <v>OK</v>
      </c>
      <c r="G511" s="6" t="n">
        <f aca="false">Person_Data!H511</f>
        <v>48.1</v>
      </c>
      <c r="H511" s="2" t="str">
        <f aca="false">IF(G511&gt;=65,"HIGH",IF(G511&gt;=50,"MEDIUM","LOW"))</f>
        <v>LOW</v>
      </c>
    </row>
    <row r="512" customFormat="false" ht="15" hidden="false" customHeight="false" outlineLevel="0" collapsed="false">
      <c r="A512" s="2" t="str">
        <f aca="false">Person_Data!A512</f>
        <v>G18430</v>
      </c>
      <c r="B512" s="2" t="str">
        <f aca="false">Person_Data!C512</f>
        <v>Senior Warrant Officer</v>
      </c>
      <c r="C512" s="5" t="n">
        <f aca="false">Person_Data!D512</f>
        <v>8.25</v>
      </c>
      <c r="D512" s="2" t="n">
        <f aca="false">INDEX(Rank_Rules!$B$2:$B$9,MATCH(B512,Rank_Rules!$A$2:$A$9,0))</f>
        <v>5</v>
      </c>
      <c r="E512" s="2" t="n">
        <f aca="false">INDEX(Rank_Rules!$C$2:$C$9,MATCH(B512,Rank_Rules!$A$2:$A$9,0))</f>
        <v>20</v>
      </c>
      <c r="F512" s="2" t="str">
        <f aca="false">IF(AND(C512&gt;=D512,C512&lt;=E512),"OK","MISMATCH")</f>
        <v>OK</v>
      </c>
      <c r="G512" s="6" t="n">
        <f aca="false">Person_Data!H512</f>
        <v>48.1</v>
      </c>
      <c r="H512" s="2" t="str">
        <f aca="false">IF(G512&gt;=65,"HIGH",IF(G512&gt;=50,"MEDIUM","LOW"))</f>
        <v>LOW</v>
      </c>
    </row>
    <row r="513" customFormat="false" ht="15" hidden="false" customHeight="false" outlineLevel="0" collapsed="false">
      <c r="A513" s="2" t="str">
        <f aca="false">Person_Data!A513</f>
        <v>G23276</v>
      </c>
      <c r="B513" s="2" t="str">
        <f aca="false">Person_Data!C513</f>
        <v>Warrant Officer</v>
      </c>
      <c r="C513" s="5" t="n">
        <f aca="false">Person_Data!D513</f>
        <v>3.18</v>
      </c>
      <c r="D513" s="2" t="n">
        <f aca="false">INDEX(Rank_Rules!$B$2:$B$9,MATCH(B513,Rank_Rules!$A$2:$A$9,0))</f>
        <v>3</v>
      </c>
      <c r="E513" s="2" t="n">
        <f aca="false">INDEX(Rank_Rules!$C$2:$C$9,MATCH(B513,Rank_Rules!$A$2:$A$9,0))</f>
        <v>5</v>
      </c>
      <c r="F513" s="2" t="str">
        <f aca="false">IF(AND(C513&gt;=D513,C513&lt;=E513),"OK","MISMATCH")</f>
        <v>OK</v>
      </c>
      <c r="G513" s="6" t="n">
        <f aca="false">Person_Data!H513</f>
        <v>44.9</v>
      </c>
      <c r="H513" s="2" t="str">
        <f aca="false">IF(G513&gt;=65,"HIGH",IF(G513&gt;=50,"MEDIUM","LOW"))</f>
        <v>LOW</v>
      </c>
    </row>
    <row r="514" customFormat="false" ht="15" hidden="false" customHeight="false" outlineLevel="0" collapsed="false">
      <c r="A514" s="2" t="str">
        <f aca="false">Person_Data!A514</f>
        <v>G17879</v>
      </c>
      <c r="B514" s="2" t="str">
        <f aca="false">Person_Data!C514</f>
        <v>Senior Warrant Officer</v>
      </c>
      <c r="C514" s="5" t="n">
        <f aca="false">Person_Data!D514</f>
        <v>9.17</v>
      </c>
      <c r="D514" s="2" t="n">
        <f aca="false">INDEX(Rank_Rules!$B$2:$B$9,MATCH(B514,Rank_Rules!$A$2:$A$9,0))</f>
        <v>5</v>
      </c>
      <c r="E514" s="2" t="n">
        <f aca="false">INDEX(Rank_Rules!$C$2:$C$9,MATCH(B514,Rank_Rules!$A$2:$A$9,0))</f>
        <v>20</v>
      </c>
      <c r="F514" s="2" t="str">
        <f aca="false">IF(AND(C514&gt;=D514,C514&lt;=E514),"OK","MISMATCH")</f>
        <v>OK</v>
      </c>
      <c r="G514" s="6" t="n">
        <f aca="false">Person_Data!H514</f>
        <v>48.1</v>
      </c>
      <c r="H514" s="2" t="str">
        <f aca="false">IF(G514&gt;=65,"HIGH",IF(G514&gt;=50,"MEDIUM","LOW"))</f>
        <v>LOW</v>
      </c>
    </row>
    <row r="515" customFormat="false" ht="15" hidden="false" customHeight="false" outlineLevel="0" collapsed="false">
      <c r="A515" s="2" t="str">
        <f aca="false">Person_Data!A515</f>
        <v>G22590</v>
      </c>
      <c r="B515" s="2" t="str">
        <f aca="false">Person_Data!C515</f>
        <v>Warrant Officer</v>
      </c>
      <c r="C515" s="5" t="n">
        <f aca="false">Person_Data!D515</f>
        <v>3.71</v>
      </c>
      <c r="D515" s="2" t="n">
        <f aca="false">INDEX(Rank_Rules!$B$2:$B$9,MATCH(B515,Rank_Rules!$A$2:$A$9,0))</f>
        <v>3</v>
      </c>
      <c r="E515" s="2" t="n">
        <f aca="false">INDEX(Rank_Rules!$C$2:$C$9,MATCH(B515,Rank_Rules!$A$2:$A$9,0))</f>
        <v>5</v>
      </c>
      <c r="F515" s="2" t="str">
        <f aca="false">IF(AND(C515&gt;=D515,C515&lt;=E515),"OK","MISMATCH")</f>
        <v>OK</v>
      </c>
      <c r="G515" s="6" t="n">
        <f aca="false">Person_Data!H515</f>
        <v>57.4</v>
      </c>
      <c r="H515" s="2" t="str">
        <f aca="false">IF(G515&gt;=65,"HIGH",IF(G515&gt;=50,"MEDIUM","LOW"))</f>
        <v>MEDIUM</v>
      </c>
    </row>
    <row r="516" customFormat="false" ht="15" hidden="false" customHeight="false" outlineLevel="0" collapsed="false">
      <c r="A516" s="2" t="str">
        <f aca="false">Person_Data!A516</f>
        <v>G23898</v>
      </c>
      <c r="B516" s="2" t="str">
        <f aca="false">Person_Data!C516</f>
        <v>Warrant Officer</v>
      </c>
      <c r="C516" s="5" t="n">
        <f aca="false">Person_Data!D516</f>
        <v>3.05</v>
      </c>
      <c r="D516" s="2" t="n">
        <f aca="false">INDEX(Rank_Rules!$B$2:$B$9,MATCH(B516,Rank_Rules!$A$2:$A$9,0))</f>
        <v>3</v>
      </c>
      <c r="E516" s="2" t="n">
        <f aca="false">INDEX(Rank_Rules!$C$2:$C$9,MATCH(B516,Rank_Rules!$A$2:$A$9,0))</f>
        <v>5</v>
      </c>
      <c r="F516" s="2" t="str">
        <f aca="false">IF(AND(C516&gt;=D516,C516&lt;=E516),"OK","MISMATCH")</f>
        <v>OK</v>
      </c>
      <c r="G516" s="6" t="n">
        <f aca="false">Person_Data!H516</f>
        <v>48.1</v>
      </c>
      <c r="H516" s="2" t="str">
        <f aca="false">IF(G516&gt;=65,"HIGH",IF(G516&gt;=50,"MEDIUM","LOW"))</f>
        <v>LOW</v>
      </c>
    </row>
    <row r="517" customFormat="false" ht="15" hidden="false" customHeight="false" outlineLevel="0" collapsed="false">
      <c r="A517" s="2" t="str">
        <f aca="false">Person_Data!A517</f>
        <v>G23419</v>
      </c>
      <c r="B517" s="2" t="str">
        <f aca="false">Person_Data!C517</f>
        <v>Warrant Officer</v>
      </c>
      <c r="C517" s="5" t="n">
        <f aca="false">Person_Data!D517</f>
        <v>3.04</v>
      </c>
      <c r="D517" s="2" t="n">
        <f aca="false">INDEX(Rank_Rules!$B$2:$B$9,MATCH(B517,Rank_Rules!$A$2:$A$9,0))</f>
        <v>3</v>
      </c>
      <c r="E517" s="2" t="n">
        <f aca="false">INDEX(Rank_Rules!$C$2:$C$9,MATCH(B517,Rank_Rules!$A$2:$A$9,0))</f>
        <v>5</v>
      </c>
      <c r="F517" s="2" t="str">
        <f aca="false">IF(AND(C517&gt;=D517,C517&lt;=E517),"OK","MISMATCH")</f>
        <v>OK</v>
      </c>
      <c r="G517" s="6" t="n">
        <f aca="false">Person_Data!H517</f>
        <v>60.7</v>
      </c>
      <c r="H517" s="2" t="str">
        <f aca="false">IF(G517&gt;=65,"HIGH",IF(G517&gt;=50,"MEDIUM","LOW"))</f>
        <v>MEDIUM</v>
      </c>
    </row>
    <row r="518" customFormat="false" ht="15" hidden="false" customHeight="false" outlineLevel="0" collapsed="false">
      <c r="A518" s="2" t="str">
        <f aca="false">Person_Data!A518</f>
        <v>G25872</v>
      </c>
      <c r="B518" s="2" t="str">
        <f aca="false">Person_Data!C518</f>
        <v>Junior Warrant Officer</v>
      </c>
      <c r="C518" s="5" t="n">
        <f aca="false">Person_Data!D518</f>
        <v>1.31</v>
      </c>
      <c r="D518" s="2" t="n">
        <f aca="false">INDEX(Rank_Rules!$B$2:$B$9,MATCH(B518,Rank_Rules!$A$2:$A$9,0))</f>
        <v>1</v>
      </c>
      <c r="E518" s="2" t="n">
        <f aca="false">INDEX(Rank_Rules!$C$2:$C$9,MATCH(B518,Rank_Rules!$A$2:$A$9,0))</f>
        <v>3</v>
      </c>
      <c r="F518" s="2" t="str">
        <f aca="false">IF(AND(C518&gt;=D518,C518&lt;=E518),"OK","MISMATCH")</f>
        <v>OK</v>
      </c>
      <c r="G518" s="6" t="n">
        <f aca="false">Person_Data!H518</f>
        <v>48.1</v>
      </c>
      <c r="H518" s="2" t="str">
        <f aca="false">IF(G518&gt;=65,"HIGH",IF(G518&gt;=50,"MEDIUM","LOW"))</f>
        <v>LOW</v>
      </c>
    </row>
    <row r="519" customFormat="false" ht="15" hidden="false" customHeight="false" outlineLevel="0" collapsed="false">
      <c r="A519" s="2" t="str">
        <f aca="false">Person_Data!A519</f>
        <v>G18131</v>
      </c>
      <c r="B519" s="2" t="str">
        <f aca="false">Person_Data!C519</f>
        <v>Senior Warrant Officer</v>
      </c>
      <c r="C519" s="5" t="n">
        <f aca="false">Person_Data!D519</f>
        <v>7.94</v>
      </c>
      <c r="D519" s="2" t="n">
        <f aca="false">INDEX(Rank_Rules!$B$2:$B$9,MATCH(B519,Rank_Rules!$A$2:$A$9,0))</f>
        <v>5</v>
      </c>
      <c r="E519" s="2" t="n">
        <f aca="false">INDEX(Rank_Rules!$C$2:$C$9,MATCH(B519,Rank_Rules!$A$2:$A$9,0))</f>
        <v>20</v>
      </c>
      <c r="F519" s="2" t="str">
        <f aca="false">IF(AND(C519&gt;=D519,C519&lt;=E519),"OK","MISMATCH")</f>
        <v>OK</v>
      </c>
      <c r="G519" s="6" t="n">
        <f aca="false">Person_Data!H519</f>
        <v>48.1</v>
      </c>
      <c r="H519" s="2" t="str">
        <f aca="false">IF(G519&gt;=65,"HIGH",IF(G519&gt;=50,"MEDIUM","LOW"))</f>
        <v>LOW</v>
      </c>
    </row>
    <row r="520" customFormat="false" ht="15" hidden="false" customHeight="false" outlineLevel="0" collapsed="false">
      <c r="A520" s="2" t="str">
        <f aca="false">Person_Data!A520</f>
        <v>G24109</v>
      </c>
      <c r="B520" s="2" t="str">
        <f aca="false">Person_Data!C520</f>
        <v>Junior Warrant Officer</v>
      </c>
      <c r="C520" s="5" t="n">
        <f aca="false">Person_Data!D520</f>
        <v>1.92</v>
      </c>
      <c r="D520" s="2" t="n">
        <f aca="false">INDEX(Rank_Rules!$B$2:$B$9,MATCH(B520,Rank_Rules!$A$2:$A$9,0))</f>
        <v>1</v>
      </c>
      <c r="E520" s="2" t="n">
        <f aca="false">INDEX(Rank_Rules!$C$2:$C$9,MATCH(B520,Rank_Rules!$A$2:$A$9,0))</f>
        <v>3</v>
      </c>
      <c r="F520" s="2" t="str">
        <f aca="false">IF(AND(C520&gt;=D520,C520&lt;=E520),"OK","MISMATCH")</f>
        <v>OK</v>
      </c>
      <c r="G520" s="6" t="n">
        <f aca="false">Person_Data!H520</f>
        <v>48.1</v>
      </c>
      <c r="H520" s="2" t="str">
        <f aca="false">IF(G520&gt;=65,"HIGH",IF(G520&gt;=50,"MEDIUM","LOW"))</f>
        <v>LOW</v>
      </c>
    </row>
    <row r="521" customFormat="false" ht="15" hidden="false" customHeight="false" outlineLevel="0" collapsed="false">
      <c r="A521" s="2" t="str">
        <f aca="false">Person_Data!A521</f>
        <v>G25531</v>
      </c>
      <c r="B521" s="2" t="str">
        <f aca="false">Person_Data!C521</f>
        <v>Junior Warrant Officer</v>
      </c>
      <c r="C521" s="5" t="n">
        <f aca="false">Person_Data!D521</f>
        <v>1.27</v>
      </c>
      <c r="D521" s="2" t="n">
        <f aca="false">INDEX(Rank_Rules!$B$2:$B$9,MATCH(B521,Rank_Rules!$A$2:$A$9,0))</f>
        <v>1</v>
      </c>
      <c r="E521" s="2" t="n">
        <f aca="false">INDEX(Rank_Rules!$C$2:$C$9,MATCH(B521,Rank_Rules!$A$2:$A$9,0))</f>
        <v>3</v>
      </c>
      <c r="F521" s="2" t="str">
        <f aca="false">IF(AND(C521&gt;=D521,C521&lt;=E521),"OK","MISMATCH")</f>
        <v>OK</v>
      </c>
      <c r="G521" s="6" t="n">
        <f aca="false">Person_Data!H521</f>
        <v>45.3</v>
      </c>
      <c r="H521" s="2" t="str">
        <f aca="false">IF(G521&gt;=65,"HIGH",IF(G521&gt;=50,"MEDIUM","LOW"))</f>
        <v>LOW</v>
      </c>
    </row>
    <row r="522" customFormat="false" ht="15" hidden="false" customHeight="false" outlineLevel="0" collapsed="false">
      <c r="A522" s="2" t="str">
        <f aca="false">Person_Data!A522</f>
        <v>G18619</v>
      </c>
      <c r="B522" s="2" t="str">
        <f aca="false">Person_Data!C522</f>
        <v>Senior Warrant Officer</v>
      </c>
      <c r="C522" s="5" t="n">
        <f aca="false">Person_Data!D522</f>
        <v>8.06</v>
      </c>
      <c r="D522" s="2" t="n">
        <f aca="false">INDEX(Rank_Rules!$B$2:$B$9,MATCH(B522,Rank_Rules!$A$2:$A$9,0))</f>
        <v>5</v>
      </c>
      <c r="E522" s="2" t="n">
        <f aca="false">INDEX(Rank_Rules!$C$2:$C$9,MATCH(B522,Rank_Rules!$A$2:$A$9,0))</f>
        <v>20</v>
      </c>
      <c r="F522" s="2" t="str">
        <f aca="false">IF(AND(C522&gt;=D522,C522&lt;=E522),"OK","MISMATCH")</f>
        <v>OK</v>
      </c>
      <c r="G522" s="6" t="n">
        <f aca="false">Person_Data!H522</f>
        <v>48.1</v>
      </c>
      <c r="H522" s="2" t="str">
        <f aca="false">IF(G522&gt;=65,"HIGH",IF(G522&gt;=50,"MEDIUM","LOW"))</f>
        <v>LOW</v>
      </c>
    </row>
    <row r="523" customFormat="false" ht="15" hidden="false" customHeight="false" outlineLevel="0" collapsed="false">
      <c r="A523" s="2" t="str">
        <f aca="false">Person_Data!A523</f>
        <v>G17402</v>
      </c>
      <c r="B523" s="2" t="str">
        <f aca="false">Person_Data!C523</f>
        <v>Senior Warrant Officer</v>
      </c>
      <c r="C523" s="5" t="n">
        <f aca="false">Person_Data!D523</f>
        <v>9.49</v>
      </c>
      <c r="D523" s="2" t="n">
        <f aca="false">INDEX(Rank_Rules!$B$2:$B$9,MATCH(B523,Rank_Rules!$A$2:$A$9,0))</f>
        <v>5</v>
      </c>
      <c r="E523" s="2" t="n">
        <f aca="false">INDEX(Rank_Rules!$C$2:$C$9,MATCH(B523,Rank_Rules!$A$2:$A$9,0))</f>
        <v>20</v>
      </c>
      <c r="F523" s="2" t="str">
        <f aca="false">IF(AND(C523&gt;=D523,C523&lt;=E523),"OK","MISMATCH")</f>
        <v>OK</v>
      </c>
      <c r="G523" s="6" t="n">
        <f aca="false">Person_Data!H523</f>
        <v>45.7</v>
      </c>
      <c r="H523" s="2" t="str">
        <f aca="false">IF(G523&gt;=65,"HIGH",IF(G523&gt;=50,"MEDIUM","LOW"))</f>
        <v>LOW</v>
      </c>
    </row>
    <row r="524" customFormat="false" ht="15" hidden="false" customHeight="false" outlineLevel="0" collapsed="false">
      <c r="A524" s="2" t="str">
        <f aca="false">Person_Data!A524</f>
        <v>G25356</v>
      </c>
      <c r="B524" s="2" t="str">
        <f aca="false">Person_Data!C524</f>
        <v>Junior Warrant Officer</v>
      </c>
      <c r="C524" s="5" t="n">
        <f aca="false">Person_Data!D524</f>
        <v>1.13</v>
      </c>
      <c r="D524" s="2" t="n">
        <f aca="false">INDEX(Rank_Rules!$B$2:$B$9,MATCH(B524,Rank_Rules!$A$2:$A$9,0))</f>
        <v>1</v>
      </c>
      <c r="E524" s="2" t="n">
        <f aca="false">INDEX(Rank_Rules!$C$2:$C$9,MATCH(B524,Rank_Rules!$A$2:$A$9,0))</f>
        <v>3</v>
      </c>
      <c r="F524" s="2" t="str">
        <f aca="false">IF(AND(C524&gt;=D524,C524&lt;=E524),"OK","MISMATCH")</f>
        <v>OK</v>
      </c>
      <c r="G524" s="6" t="n">
        <f aca="false">Person_Data!H524</f>
        <v>48.1</v>
      </c>
      <c r="H524" s="2" t="str">
        <f aca="false">IF(G524&gt;=65,"HIGH",IF(G524&gt;=50,"MEDIUM","LOW"))</f>
        <v>LOW</v>
      </c>
    </row>
    <row r="525" customFormat="false" ht="15" hidden="false" customHeight="false" outlineLevel="0" collapsed="false">
      <c r="A525" s="2" t="str">
        <f aca="false">Person_Data!A525</f>
        <v>G23270</v>
      </c>
      <c r="B525" s="2" t="str">
        <f aca="false">Person_Data!C525</f>
        <v>Warrant Officer</v>
      </c>
      <c r="C525" s="5" t="n">
        <f aca="false">Person_Data!D525</f>
        <v>3.02</v>
      </c>
      <c r="D525" s="2" t="n">
        <f aca="false">INDEX(Rank_Rules!$B$2:$B$9,MATCH(B525,Rank_Rules!$A$2:$A$9,0))</f>
        <v>3</v>
      </c>
      <c r="E525" s="2" t="n">
        <f aca="false">INDEX(Rank_Rules!$C$2:$C$9,MATCH(B525,Rank_Rules!$A$2:$A$9,0))</f>
        <v>5</v>
      </c>
      <c r="F525" s="2" t="str">
        <f aca="false">IF(AND(C525&gt;=D525,C525&lt;=E525),"OK","MISMATCH")</f>
        <v>OK</v>
      </c>
      <c r="G525" s="6" t="n">
        <f aca="false">Person_Data!H525</f>
        <v>44.9</v>
      </c>
      <c r="H525" s="2" t="str">
        <f aca="false">IF(G525&gt;=65,"HIGH",IF(G525&gt;=50,"MEDIUM","LOW"))</f>
        <v>LOW</v>
      </c>
    </row>
    <row r="526" customFormat="false" ht="15" hidden="false" customHeight="false" outlineLevel="0" collapsed="false">
      <c r="A526" s="2" t="str">
        <f aca="false">Person_Data!A526</f>
        <v>G22986</v>
      </c>
      <c r="B526" s="2" t="str">
        <f aca="false">Person_Data!C526</f>
        <v>Warrant Officer</v>
      </c>
      <c r="C526" s="5" t="n">
        <f aca="false">Person_Data!D526</f>
        <v>4.37</v>
      </c>
      <c r="D526" s="2" t="n">
        <f aca="false">INDEX(Rank_Rules!$B$2:$B$9,MATCH(B526,Rank_Rules!$A$2:$A$9,0))</f>
        <v>3</v>
      </c>
      <c r="E526" s="2" t="n">
        <f aca="false">INDEX(Rank_Rules!$C$2:$C$9,MATCH(B526,Rank_Rules!$A$2:$A$9,0))</f>
        <v>5</v>
      </c>
      <c r="F526" s="2" t="str">
        <f aca="false">IF(AND(C526&gt;=D526,C526&lt;=E526),"OK","MISMATCH")</f>
        <v>OK</v>
      </c>
      <c r="G526" s="6" t="n">
        <f aca="false">Person_Data!H526</f>
        <v>48.1</v>
      </c>
      <c r="H526" s="2" t="str">
        <f aca="false">IF(G526&gt;=65,"HIGH",IF(G526&gt;=50,"MEDIUM","LOW"))</f>
        <v>LOW</v>
      </c>
    </row>
  </sheetData>
  <conditionalFormatting sqref="F2:F526">
    <cfRule type="cellIs" priority="2" operator="equal" aboveAverage="0" equalAverage="0" bottom="0" percent="0" rank="0" text="" dxfId="0">
      <formula>"MISMATCH"</formula>
    </cfRule>
  </conditionalFormatting>
  <conditionalFormatting sqref="G2:G52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2026-09-05T10:56:53Z</dcterms:created>
  <dc:creator>openpyxl</dc:creator>
  <dc:description/>
  <dc:language>en-US</dc:language>
  <cp:lastModifiedBy/>
  <dcterms:modified xsi:type="dcterms:W3CDTF">2026-09-05T10:56:53Z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